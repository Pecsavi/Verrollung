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eren\source\repos\Verrollungsnachweis_02\"/>
    </mc:Choice>
  </mc:AlternateContent>
  <bookViews>
    <workbookView xWindow="0" yWindow="0" windowWidth="38370" windowHeight="17700"/>
  </bookViews>
  <sheets>
    <sheet name="Tabelle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F14" i="1" s="1"/>
  <c r="G14" i="1"/>
  <c r="D16" i="1"/>
  <c r="D18" i="1" s="1"/>
  <c r="G16" i="1"/>
  <c r="G18" i="1" s="1"/>
  <c r="C18" i="1"/>
  <c r="C21" i="1"/>
  <c r="D21" i="1"/>
  <c r="C27" i="1"/>
  <c r="F27" i="1" s="1"/>
  <c r="G27" i="1"/>
  <c r="D29" i="1"/>
  <c r="G29" i="1"/>
  <c r="G31" i="1" s="1"/>
  <c r="D31" i="1"/>
  <c r="C34" i="1"/>
  <c r="D34" i="1"/>
  <c r="F18" i="1" l="1"/>
  <c r="E16" i="1"/>
  <c r="E18" i="1" s="1"/>
  <c r="C31" i="1"/>
  <c r="F31" i="1" s="1"/>
  <c r="E29" i="1"/>
  <c r="E31" i="1" s="1"/>
  <c r="C22" i="1" l="1"/>
  <c r="D22" i="1"/>
  <c r="D35" i="1"/>
  <c r="C35" i="1"/>
</calcChain>
</file>

<file path=xl/sharedStrings.xml><?xml version="1.0" encoding="utf-8"?>
<sst xmlns="http://schemas.openxmlformats.org/spreadsheetml/2006/main" count="40" uniqueCount="26">
  <si>
    <t>Projekt:</t>
  </si>
  <si>
    <t>Nachläufer:</t>
  </si>
  <si>
    <t>Datum:</t>
  </si>
  <si>
    <t>Bearbeiter:</t>
  </si>
  <si>
    <t>Rstab Datei:</t>
  </si>
  <si>
    <r>
      <rPr>
        <b/>
        <sz val="11"/>
        <rFont val="Arial"/>
        <family val="2"/>
      </rPr>
      <t>Anmerkung:</t>
    </r>
    <r>
      <rPr>
        <sz val="11"/>
        <rFont val="Arial"/>
        <family val="2"/>
      </rPr>
      <t xml:space="preserve"> </t>
    </r>
  </si>
  <si>
    <t>Tunnelinnenradius</t>
  </si>
  <si>
    <t>m</t>
  </si>
  <si>
    <t>Halber Fahrwerkswinkel vorn</t>
  </si>
  <si>
    <t>°</t>
  </si>
  <si>
    <t>Halber Fahrwerkswinkel hinten</t>
  </si>
  <si>
    <t>Fahrwerksscheibe vorn</t>
  </si>
  <si>
    <t>Gewichtskraft [kN]</t>
  </si>
  <si>
    <t>Summe Fahrwerks-lasten [kN]</t>
  </si>
  <si>
    <t>Tangentiale Kraft am Tübbing [kN]</t>
  </si>
  <si>
    <t>y-Richtung [m]</t>
  </si>
  <si>
    <t>Rotationsmoment um Tunnelmitte [kNm]</t>
  </si>
  <si>
    <t>Alle Ständigen Lasten</t>
  </si>
  <si>
    <t>Gegengewicht</t>
  </si>
  <si>
    <t>Summe</t>
  </si>
  <si>
    <t>erf. Reibung am Tübbing</t>
  </si>
  <si>
    <t>my</t>
  </si>
  <si>
    <t xml:space="preserve"> = Tangentiale Kraft am Tübbing / Summe Fahrwerkslasten</t>
  </si>
  <si>
    <t>Ständige Lasten ohne Gegengewicht</t>
  </si>
  <si>
    <t>Ständige- und veränderliche Lasten [max]</t>
  </si>
  <si>
    <t>Fahrwerksscheibe hinten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</si>
</sst>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62">
    <xf numFmtId="0" fontId="0" fillId="0" borderId="0" xfId="0"/>
    <xf numFmtId="0" fontId="2" fillId="3" borderId="2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4" fillId="0" borderId="8" xfId="0" applyFont="1" applyBorder="1"/>
    <xf numFmtId="0" fontId="4" fillId="0" borderId="0" xfId="0" applyFont="1"/>
    <xf numFmtId="0" fontId="5" fillId="0" borderId="0" xfId="0" applyFont="1" applyAlignment="1">
      <alignment horizontal="right"/>
    </xf>
    <xf numFmtId="0" fontId="5" fillId="0" borderId="9" xfId="0" applyFont="1" applyBorder="1" applyAlignment="1">
      <alignment horizontal="right"/>
    </xf>
    <xf numFmtId="0" fontId="4" fillId="0" borderId="8" xfId="0" applyFont="1" applyBorder="1" applyAlignment="1">
      <alignment horizontal="left"/>
    </xf>
    <xf numFmtId="0" fontId="6" fillId="0" borderId="0" xfId="0" applyFont="1"/>
    <xf numFmtId="0" fontId="6" fillId="0" borderId="9" xfId="0" applyFont="1" applyBorder="1"/>
    <xf numFmtId="14" fontId="4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9" xfId="0" applyFont="1" applyBorder="1" applyAlignment="1">
      <alignment horizontal="center"/>
    </xf>
    <xf numFmtId="0" fontId="7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8" fillId="4" borderId="8" xfId="0" applyFont="1" applyFill="1" applyBorder="1" applyAlignment="1">
      <alignment wrapText="1"/>
    </xf>
    <xf numFmtId="0" fontId="0" fillId="4" borderId="0" xfId="0" applyFill="1" applyAlignment="1">
      <alignment horizontal="center" wrapText="1"/>
    </xf>
    <xf numFmtId="0" fontId="0" fillId="4" borderId="9" xfId="0" applyFill="1" applyBorder="1" applyAlignment="1">
      <alignment horizontal="center" wrapText="1"/>
    </xf>
    <xf numFmtId="1" fontId="0" fillId="0" borderId="8" xfId="0" applyNumberFormat="1" applyBorder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left"/>
    </xf>
    <xf numFmtId="2" fontId="0" fillId="2" borderId="11" xfId="1" applyNumberFormat="1" applyFon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 vertical="center"/>
    </xf>
    <xf numFmtId="0" fontId="0" fillId="2" borderId="11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1" fontId="0" fillId="0" borderId="6" xfId="0" applyNumberFormat="1" applyBorder="1" applyAlignment="1">
      <alignment vertical="center"/>
    </xf>
    <xf numFmtId="3" fontId="0" fillId="0" borderId="7" xfId="0" applyNumberFormat="1" applyBorder="1" applyAlignment="1">
      <alignment vertical="center"/>
    </xf>
    <xf numFmtId="0" fontId="0" fillId="4" borderId="8" xfId="0" applyFill="1" applyBorder="1"/>
    <xf numFmtId="1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9" fillId="0" borderId="14" xfId="0" applyFont="1" applyBorder="1"/>
    <xf numFmtId="0" fontId="9" fillId="0" borderId="6" xfId="0" applyFont="1" applyBorder="1" applyAlignment="1">
      <alignment horizontal="right"/>
    </xf>
    <xf numFmtId="0" fontId="9" fillId="0" borderId="6" xfId="0" applyFont="1" applyBorder="1"/>
    <xf numFmtId="164" fontId="0" fillId="0" borderId="6" xfId="0" applyNumberFormat="1" applyBorder="1" applyAlignment="1">
      <alignment horizontal="center"/>
    </xf>
    <xf numFmtId="0" fontId="10" fillId="0" borderId="15" xfId="0" applyFont="1" applyBorder="1"/>
    <xf numFmtId="164" fontId="0" fillId="0" borderId="0" xfId="0" applyNumberFormat="1" applyAlignment="1">
      <alignment horizontal="right" vertical="center"/>
    </xf>
    <xf numFmtId="0" fontId="11" fillId="0" borderId="0" xfId="0" applyFont="1"/>
    <xf numFmtId="1" fontId="0" fillId="0" borderId="0" xfId="0" applyNumberFormat="1"/>
    <xf numFmtId="0" fontId="12" fillId="0" borderId="15" xfId="0" applyFont="1" applyBorder="1"/>
    <xf numFmtId="0" fontId="12" fillId="0" borderId="14" xfId="0" applyFont="1" applyBorder="1"/>
    <xf numFmtId="164" fontId="0" fillId="0" borderId="6" xfId="0" applyNumberFormat="1" applyBorder="1" applyAlignment="1">
      <alignment horizontal="right" vertical="center"/>
    </xf>
    <xf numFmtId="1" fontId="0" fillId="0" borderId="6" xfId="0" applyNumberFormat="1" applyBorder="1"/>
    <xf numFmtId="0" fontId="0" fillId="0" borderId="7" xfId="0" applyBorder="1"/>
    <xf numFmtId="165" fontId="13" fillId="0" borderId="0" xfId="0" applyNumberFormat="1" applyFont="1"/>
    <xf numFmtId="0" fontId="13" fillId="0" borderId="0" xfId="0" applyFont="1"/>
  </cellXfs>
  <cellStyles count="2">
    <cellStyle name="Notiz" xfId="1" builtinId="10"/>
    <cellStyle name="Standard" xfId="0" builtinId="0"/>
  </cellStyles>
  <dxfs count="1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EFD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EFD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EFD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errollung_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rollen"/>
    </sheetNames>
    <sheetDataSet>
      <sheetData sheetId="0">
        <row r="36">
          <cell r="B36">
            <v>0</v>
          </cell>
          <cell r="C36">
            <v>0</v>
          </cell>
          <cell r="E36">
            <v>0</v>
          </cell>
          <cell r="F3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6"/>
  <sheetViews>
    <sheetView tabSelected="1" workbookViewId="0">
      <selection activeCell="J10" sqref="J10"/>
    </sheetView>
  </sheetViews>
  <sheetFormatPr baseColWidth="10" defaultRowHeight="15" x14ac:dyDescent="0.25"/>
  <cols>
    <col min="2" max="2" width="37.7109375" style="53" customWidth="1"/>
    <col min="3" max="3" width="17" style="53" customWidth="1"/>
    <col min="4" max="4" width="18.140625" style="53" customWidth="1"/>
    <col min="5" max="5" width="16.5703125" style="53" customWidth="1"/>
    <col min="6" max="6" width="15.7109375" style="53" customWidth="1"/>
    <col min="7" max="7" width="20.42578125" style="53" customWidth="1"/>
  </cols>
  <sheetData>
    <row r="1" spans="2:7" x14ac:dyDescent="0.25">
      <c r="B1" s="1"/>
      <c r="C1" s="2"/>
      <c r="D1" s="2"/>
      <c r="E1" s="2"/>
      <c r="F1" s="2"/>
      <c r="G1" s="3"/>
    </row>
    <row r="2" spans="2:7" x14ac:dyDescent="0.25">
      <c r="B2" s="4"/>
      <c r="C2" s="5"/>
      <c r="D2" s="5"/>
      <c r="E2" s="5"/>
      <c r="F2" s="5"/>
      <c r="G2" s="6"/>
    </row>
    <row r="3" spans="2:7" x14ac:dyDescent="0.25">
      <c r="B3" s="7" t="s">
        <v>0</v>
      </c>
      <c r="C3" s="8"/>
      <c r="D3" s="9"/>
      <c r="E3" s="9"/>
      <c r="F3" s="9"/>
      <c r="G3" s="10"/>
    </row>
    <row r="4" spans="2:7" ht="15.75" x14ac:dyDescent="0.25">
      <c r="B4" s="11" t="s">
        <v>1</v>
      </c>
      <c r="C4" s="8"/>
      <c r="D4" s="12"/>
      <c r="E4" s="12"/>
      <c r="F4" s="12"/>
      <c r="G4" s="13"/>
    </row>
    <row r="5" spans="2:7" ht="15.75" x14ac:dyDescent="0.25">
      <c r="B5" s="11" t="s">
        <v>2</v>
      </c>
      <c r="C5" s="14"/>
      <c r="D5" s="15"/>
      <c r="E5" s="15"/>
      <c r="F5" s="15"/>
      <c r="G5" s="16"/>
    </row>
    <row r="6" spans="2:7" ht="15.75" x14ac:dyDescent="0.25">
      <c r="B6" s="11" t="s">
        <v>3</v>
      </c>
      <c r="C6" s="14"/>
      <c r="D6" s="15"/>
      <c r="E6" s="15"/>
      <c r="F6" s="15"/>
      <c r="G6" s="16"/>
    </row>
    <row r="7" spans="2:7" x14ac:dyDescent="0.25">
      <c r="B7" s="7" t="s">
        <v>4</v>
      </c>
      <c r="C7" s="8"/>
      <c r="D7" s="9"/>
      <c r="E7" s="9"/>
      <c r="F7" s="9"/>
      <c r="G7" s="10"/>
    </row>
    <row r="8" spans="2:7" x14ac:dyDescent="0.25">
      <c r="B8" s="7" t="s">
        <v>5</v>
      </c>
      <c r="C8" s="17"/>
      <c r="D8" s="9"/>
      <c r="E8" s="9"/>
      <c r="F8" s="9"/>
      <c r="G8" s="10"/>
    </row>
    <row r="9" spans="2:7" x14ac:dyDescent="0.25">
      <c r="B9" s="18" t="s">
        <v>6</v>
      </c>
      <c r="C9" s="19"/>
      <c r="D9" s="19" t="s">
        <v>7</v>
      </c>
      <c r="E9" s="19"/>
      <c r="F9" s="19"/>
      <c r="G9" s="20"/>
    </row>
    <row r="10" spans="2:7" x14ac:dyDescent="0.25">
      <c r="B10" s="21" t="s">
        <v>8</v>
      </c>
      <c r="C10"/>
      <c r="D10" t="s">
        <v>9</v>
      </c>
      <c r="E10"/>
      <c r="F10"/>
      <c r="G10" s="22"/>
    </row>
    <row r="11" spans="2:7" x14ac:dyDescent="0.25">
      <c r="B11" s="21" t="s">
        <v>10</v>
      </c>
      <c r="C11"/>
      <c r="D11" t="s">
        <v>9</v>
      </c>
      <c r="E11"/>
      <c r="F11"/>
      <c r="G11" s="22"/>
    </row>
    <row r="12" spans="2:7" x14ac:dyDescent="0.25">
      <c r="B12" s="21"/>
      <c r="C12"/>
      <c r="D12"/>
      <c r="E12"/>
      <c r="F12"/>
      <c r="G12" s="22"/>
    </row>
    <row r="13" spans="2:7" ht="31.5" x14ac:dyDescent="0.35">
      <c r="B13" s="23" t="s">
        <v>11</v>
      </c>
      <c r="C13" s="24" t="s">
        <v>12</v>
      </c>
      <c r="D13" s="24" t="s">
        <v>13</v>
      </c>
      <c r="E13" s="24" t="s">
        <v>14</v>
      </c>
      <c r="F13" s="24" t="s">
        <v>15</v>
      </c>
      <c r="G13" s="25" t="s">
        <v>16</v>
      </c>
    </row>
    <row r="14" spans="2:7" x14ac:dyDescent="0.25">
      <c r="B14" s="26" t="s">
        <v>17</v>
      </c>
      <c r="C14" s="27">
        <f>COS(PI()/180*C$10)*D14+(SIN(PI()/180*C$10)*E14)</f>
        <v>0</v>
      </c>
      <c r="D14" s="27"/>
      <c r="E14" s="28"/>
      <c r="F14" s="29">
        <f>IF(C14=0,0,G14/ABS(C14))</f>
        <v>0</v>
      </c>
      <c r="G14" s="30">
        <f>$C$9*E14</f>
        <v>0</v>
      </c>
    </row>
    <row r="15" spans="2:7" x14ac:dyDescent="0.25">
      <c r="B15" s="26"/>
      <c r="C15" s="27"/>
      <c r="D15" s="27"/>
      <c r="E15"/>
      <c r="F15" s="29"/>
      <c r="G15" s="30"/>
    </row>
    <row r="16" spans="2:7" x14ac:dyDescent="0.25">
      <c r="B16" s="31" t="s">
        <v>18</v>
      </c>
      <c r="C16" s="32"/>
      <c r="D16" s="33">
        <f>C16/COS(PI()/180*$C$10)</f>
        <v>0</v>
      </c>
      <c r="E16" s="34" t="e">
        <f>G16/$C$9</f>
        <v>#DIV/0!</v>
      </c>
      <c r="F16" s="35"/>
      <c r="G16" s="36">
        <f>C16*F16</f>
        <v>0</v>
      </c>
    </row>
    <row r="17" spans="2:7" x14ac:dyDescent="0.25">
      <c r="B17" s="37"/>
      <c r="C17" s="38"/>
      <c r="D17" s="38"/>
      <c r="E17" s="39"/>
      <c r="F17" s="39"/>
      <c r="G17" s="40"/>
    </row>
    <row r="18" spans="2:7" x14ac:dyDescent="0.25">
      <c r="B18" s="41" t="s">
        <v>19</v>
      </c>
      <c r="C18" s="42">
        <f>SUM(C14:C17)</f>
        <v>0</v>
      </c>
      <c r="D18" s="42">
        <f>SUM(D14:D17)</f>
        <v>0</v>
      </c>
      <c r="E18" s="43" t="e">
        <f>SUM(E14:E17)</f>
        <v>#DIV/0!</v>
      </c>
      <c r="F18" s="44" t="e">
        <f>G18/ABS(C18)</f>
        <v>#DIV/0!</v>
      </c>
      <c r="G18" s="45">
        <f>SUM(G14:G17)</f>
        <v>0</v>
      </c>
    </row>
    <row r="19" spans="2:7" x14ac:dyDescent="0.25">
      <c r="B19" s="21"/>
      <c r="C19"/>
      <c r="D19"/>
      <c r="E19"/>
      <c r="F19" s="46"/>
      <c r="G19" s="22"/>
    </row>
    <row r="20" spans="2:7" x14ac:dyDescent="0.25">
      <c r="B20" s="47" t="s">
        <v>20</v>
      </c>
      <c r="C20" s="48" t="s">
        <v>21</v>
      </c>
      <c r="D20" s="49" t="s">
        <v>22</v>
      </c>
      <c r="E20" s="38"/>
      <c r="F20" s="50"/>
      <c r="G20" s="22"/>
    </row>
    <row r="21" spans="2:7" x14ac:dyDescent="0.25">
      <c r="B21" s="51" t="s">
        <v>23</v>
      </c>
      <c r="C21" s="52" t="e">
        <f>ABS($E$14)/$D$14</f>
        <v>#DIV/0!</v>
      </c>
      <c r="D21" t="str">
        <f>CONCATENATE("=ABS(",TEXT(E14,"0,0"),"/",TEXT(D14,"0,0"),")")</f>
        <v>=ABS(0,0/0,0)</v>
      </c>
      <c r="F21" s="54"/>
      <c r="G21" s="22"/>
    </row>
    <row r="22" spans="2:7" x14ac:dyDescent="0.25">
      <c r="B22" s="55" t="s">
        <v>24</v>
      </c>
      <c r="C22" s="52" t="e">
        <f>ABS($E$18)/$D$18</f>
        <v>#DIV/0!</v>
      </c>
      <c r="D22" t="e">
        <f>CONCATENATE("=ABS(",TEXT(E18,"0,0"),"/",TEXT(D18,"0,0"),")")</f>
        <v>#DIV/0!</v>
      </c>
      <c r="E22"/>
      <c r="F22" s="54"/>
      <c r="G22" s="22"/>
    </row>
    <row r="23" spans="2:7" x14ac:dyDescent="0.25">
      <c r="B23" s="21"/>
      <c r="C23"/>
      <c r="E23"/>
      <c r="F23" s="54"/>
      <c r="G23" s="22"/>
    </row>
    <row r="24" spans="2:7" x14ac:dyDescent="0.25">
      <c r="B24" s="21"/>
      <c r="C24"/>
      <c r="D24"/>
      <c r="E24" s="54"/>
      <c r="F24"/>
      <c r="G24" s="22"/>
    </row>
    <row r="25" spans="2:7" x14ac:dyDescent="0.25">
      <c r="B25" s="21"/>
      <c r="C25"/>
      <c r="D25"/>
      <c r="E25"/>
      <c r="F25" s="54"/>
      <c r="G25" s="22"/>
    </row>
    <row r="26" spans="2:7" ht="46.5" x14ac:dyDescent="0.35">
      <c r="B26" s="23" t="s">
        <v>25</v>
      </c>
      <c r="C26" s="24" t="s">
        <v>12</v>
      </c>
      <c r="D26" s="24" t="s">
        <v>13</v>
      </c>
      <c r="E26" s="24" t="s">
        <v>14</v>
      </c>
      <c r="F26" s="24" t="s">
        <v>15</v>
      </c>
      <c r="G26" s="25" t="s">
        <v>16</v>
      </c>
    </row>
    <row r="27" spans="2:7" x14ac:dyDescent="0.25">
      <c r="B27" s="26" t="s">
        <v>17</v>
      </c>
      <c r="C27" s="27">
        <f>COS(PI()/180*C$11)*D27+(SIN(PI()/180*C$11)*E27)</f>
        <v>0</v>
      </c>
      <c r="D27" s="27"/>
      <c r="E27" s="28"/>
      <c r="F27" s="29">
        <f>IF(C27=0,0,G27/ABS(C27))</f>
        <v>0</v>
      </c>
      <c r="G27" s="30">
        <f>$C$9*E27</f>
        <v>0</v>
      </c>
    </row>
    <row r="28" spans="2:7" x14ac:dyDescent="0.25">
      <c r="B28" s="26"/>
      <c r="C28" s="27"/>
      <c r="D28" s="27"/>
      <c r="E28" s="28"/>
      <c r="F28" s="29"/>
      <c r="G28" s="30"/>
    </row>
    <row r="29" spans="2:7" x14ac:dyDescent="0.25">
      <c r="B29" s="31" t="s">
        <v>18</v>
      </c>
      <c r="C29" s="32"/>
      <c r="D29" s="33">
        <f>C29/COS(PI()/180*$C$10)</f>
        <v>0</v>
      </c>
      <c r="E29" s="34" t="e">
        <f>G29/$C$9</f>
        <v>#DIV/0!</v>
      </c>
      <c r="F29" s="35"/>
      <c r="G29" s="36">
        <f>C29*F29</f>
        <v>0</v>
      </c>
    </row>
    <row r="30" spans="2:7" x14ac:dyDescent="0.25">
      <c r="B30" s="37"/>
      <c r="C30" s="38"/>
      <c r="D30" s="38"/>
      <c r="E30" s="39"/>
      <c r="F30" s="39"/>
      <c r="G30" s="40"/>
    </row>
    <row r="31" spans="2:7" x14ac:dyDescent="0.25">
      <c r="B31" s="41" t="s">
        <v>19</v>
      </c>
      <c r="C31" s="42">
        <f>SUM(C27:C30)</f>
        <v>0</v>
      </c>
      <c r="D31" s="42">
        <f>SUM(D27:D30)</f>
        <v>0</v>
      </c>
      <c r="E31" s="43" t="e">
        <f>SUM(E27:E30)</f>
        <v>#DIV/0!</v>
      </c>
      <c r="F31" s="44" t="e">
        <f>G31/ABS(C31)</f>
        <v>#DIV/0!</v>
      </c>
      <c r="G31" s="45">
        <f>SUM(G27:G30)</f>
        <v>0</v>
      </c>
    </row>
    <row r="32" spans="2:7" x14ac:dyDescent="0.25">
      <c r="B32" s="21"/>
      <c r="C32"/>
      <c r="D32"/>
      <c r="E32"/>
      <c r="F32" s="46"/>
      <c r="G32" s="22"/>
    </row>
    <row r="33" spans="2:7" x14ac:dyDescent="0.25">
      <c r="B33" s="47" t="s">
        <v>20</v>
      </c>
      <c r="C33" s="48" t="s">
        <v>21</v>
      </c>
      <c r="D33" s="49" t="s">
        <v>22</v>
      </c>
      <c r="E33" s="38"/>
      <c r="F33" s="50"/>
      <c r="G33" s="22"/>
    </row>
    <row r="34" spans="2:7" x14ac:dyDescent="0.25">
      <c r="B34" s="51" t="s">
        <v>23</v>
      </c>
      <c r="C34" s="52" t="e">
        <f>ABS($E$27)/$D$27</f>
        <v>#DIV/0!</v>
      </c>
      <c r="D34" t="str">
        <f>CONCATENATE("=ABS(",TEXT(E27,"0,0"),"/",TEXT(D27,"0,0"),")")</f>
        <v>=ABS(0,0/0,0)</v>
      </c>
      <c r="E34"/>
      <c r="F34" s="54"/>
      <c r="G34" s="22"/>
    </row>
    <row r="35" spans="2:7" x14ac:dyDescent="0.25">
      <c r="B35" s="56" t="s">
        <v>24</v>
      </c>
      <c r="C35" s="57" t="e">
        <f>ABS($E$31)/$D$31</f>
        <v>#DIV/0!</v>
      </c>
      <c r="D35" s="38" t="e">
        <f>CONCATENATE("=ABS(",TEXT(E31,"0,0"),"/",TEXT(D31,"0,0"),")")</f>
        <v>#DIV/0!</v>
      </c>
      <c r="E35" s="38"/>
      <c r="F35" s="58"/>
      <c r="G35" s="59"/>
    </row>
    <row r="36" spans="2:7" x14ac:dyDescent="0.25">
      <c r="B36" s="60"/>
      <c r="C36" s="60"/>
      <c r="D36" s="60"/>
      <c r="E36" s="60"/>
      <c r="F36" s="60"/>
      <c r="G36" s="61"/>
    </row>
  </sheetData>
  <mergeCells count="2">
    <mergeCell ref="B1:G1"/>
    <mergeCell ref="B2:G2"/>
  </mergeCells>
  <conditionalFormatting sqref="B21:D21 B22:G22 C34:D34 C35:G35 B8:G20 F21:G21 B23:C23 E23:G23 B24:F24 B25:G33 F34:G34 B34:B35 B36:G1048576">
    <cfRule type="expression" dxfId="3" priority="7">
      <formula>CELL("Schutz",B8)=0</formula>
    </cfRule>
  </conditionalFormatting>
  <conditionalFormatting sqref="C21:C22 C34:C35">
    <cfRule type="cellIs" dxfId="2" priority="4" operator="lessThanOrEqual">
      <formula>0.1044</formula>
    </cfRule>
    <cfRule type="cellIs" dxfId="1" priority="5" operator="greaterThan">
      <formula>0.15</formula>
    </cfRule>
    <cfRule type="cellIs" dxfId="0" priority="6" operator="greaterThan">
      <formula>0.1044</formula>
    </cfRule>
  </conditionalFormatting>
  <conditionalFormatting sqref="G14:G1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{D82C6DF2-1FED-447D-A9D3-3FADADC1F0D6}</x14:id>
        </ext>
      </extLst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{79B63198-3C1B-4FA7-B2AB-33286FC450FA}</x14:id>
        </ext>
      </extLst>
    </cfRule>
  </conditionalFormatting>
  <conditionalFormatting sqref="G27:G2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{ADC4FBE8-8614-49DA-8AB5-79561EF4CB87}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2C6DF2-1FED-447D-A9D3-3FADADC1F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9B63198-3C1B-4FA7-B2AB-33286FC45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G14:G16</xm:sqref>
        </x14:conditionalFormatting>
        <x14:conditionalFormatting xmlns:xm="http://schemas.microsoft.com/office/excel/2006/main">
          <x14:cfRule type="dataBar" id="{ADC4FBE8-8614-49DA-8AB5-79561EF4CB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G27:G29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Perényi Csaba</dc:creator>
  <cp:lastModifiedBy>Perényi Csaba</cp:lastModifiedBy>
  <dcterms:created xsi:type="dcterms:W3CDTF">2025-06-22T07:33:14Z</dcterms:created>
  <dcterms:modified xsi:type="dcterms:W3CDTF">2025-06-22T15:38:14Z</dcterms:modified>
</cp:coreProperties>
</file>