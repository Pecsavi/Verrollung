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C:\Csaba\"/>
    </mc:Choice>
  </mc:AlternateContent>
  <bookViews>
    <workbookView xWindow="-9465" yWindow="-21705" windowWidth="38625" windowHeight="21225"/>
  </bookViews>
  <sheets>
    <sheet name="Verrollen" sheetId="5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5" l="1"/>
  <c r="C14" i="5"/>
  <c r="F27" i="5" l="1"/>
  <c r="F14" i="5"/>
  <c r="D21" i="5"/>
  <c r="D34" i="5"/>
  <c r="C34" i="5"/>
  <c r="C21" i="5"/>
  <c r="G29" i="5"/>
  <c r="E29" i="5" s="1"/>
  <c r="E31" i="5" s="1"/>
  <c r="D29" i="5"/>
  <c r="G27" i="5" l="1"/>
  <c r="C18" i="5"/>
  <c r="G14" i="5"/>
  <c r="D31" i="5" l="1"/>
  <c r="D35" i="5" s="1"/>
  <c r="G31" i="5"/>
  <c r="C31" i="5" l="1"/>
  <c r="C35" i="5"/>
  <c r="F31" i="5" l="1"/>
  <c r="D16" i="5"/>
  <c r="D18" i="5" s="1"/>
  <c r="G16" i="5"/>
  <c r="E16" i="5" l="1"/>
  <c r="E18" i="5" s="1"/>
  <c r="D22" i="5" s="1"/>
  <c r="G18" i="5"/>
  <c r="F18" i="5" l="1"/>
  <c r="C22" i="5"/>
</calcChain>
</file>

<file path=xl/sharedStrings.xml><?xml version="1.0" encoding="utf-8"?>
<sst xmlns="http://schemas.openxmlformats.org/spreadsheetml/2006/main" count="42" uniqueCount="28">
  <si>
    <t>Alle Ständigen Lasten</t>
  </si>
  <si>
    <t>y-Richtung [m]</t>
  </si>
  <si>
    <t>m</t>
  </si>
  <si>
    <t>°</t>
  </si>
  <si>
    <t>Summe Fahrwerks-lasten [kN]</t>
  </si>
  <si>
    <t>erf. Reibung am Tübbing</t>
  </si>
  <si>
    <t>Rotationsmoment um Tunnelmitte [kNm]</t>
  </si>
  <si>
    <t>Summe</t>
  </si>
  <si>
    <t>Gewichtskraft [kN]</t>
  </si>
  <si>
    <t>Tangentiale Kraft am Tübbing [kN]</t>
  </si>
  <si>
    <t xml:space="preserve"> = Tangentiale Kraft am Tübbing / Summe Fahrwerkslasten</t>
  </si>
  <si>
    <t>my</t>
  </si>
  <si>
    <t>Gegengewicht</t>
  </si>
  <si>
    <t>Ständige Lasten ohne Gegengewicht</t>
  </si>
  <si>
    <t>Ständige- und veränderliche Lasten [max]</t>
  </si>
  <si>
    <t>1,00-fache Lastangabe ohne Teilsicherheitsbeiwerte.</t>
  </si>
  <si>
    <t>Projekt:</t>
  </si>
  <si>
    <t>Nachläufer:</t>
  </si>
  <si>
    <t>Datum:</t>
  </si>
  <si>
    <t>Bearbeiter:</t>
  </si>
  <si>
    <t>Rstab Datei:</t>
  </si>
  <si>
    <r>
      <rPr>
        <b/>
        <sz val="11"/>
        <rFont val="Arial"/>
        <family val="2"/>
      </rPr>
      <t>Anmerkung:</t>
    </r>
    <r>
      <rPr>
        <sz val="11"/>
        <rFont val="Arial"/>
        <family val="2"/>
      </rPr>
      <t xml:space="preserve"> </t>
    </r>
  </si>
  <si>
    <t>Halber Fahrwerkswinkel vorn</t>
  </si>
  <si>
    <t>Halber Fahrwerkswinkel hinten</t>
  </si>
  <si>
    <t>Verrollungsnachweis vom  ------</t>
  </si>
  <si>
    <t>……..hinten</t>
  </si>
  <si>
    <t>……..vorn</t>
  </si>
  <si>
    <t>…..radius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</si>
</sst>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4" borderId="14" applyNumberFormat="0" applyFont="0" applyAlignment="0" applyProtection="0"/>
  </cellStyleXfs>
  <cellXfs count="68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1" fontId="0" fillId="0" borderId="1" xfId="0" applyNumberFormat="1" applyBorder="1" applyAlignment="1">
      <alignment vertical="center"/>
    </xf>
    <xf numFmtId="2" fontId="0" fillId="0" borderId="2" xfId="0" applyNumberFormat="1" applyBorder="1" applyAlignment="1">
      <alignment horizontal="center"/>
    </xf>
    <xf numFmtId="0" fontId="2" fillId="0" borderId="0" xfId="0" applyFont="1"/>
    <xf numFmtId="2" fontId="2" fillId="0" borderId="0" xfId="0" applyNumberFormat="1" applyFont="1"/>
    <xf numFmtId="1" fontId="3" fillId="0" borderId="0" xfId="0" applyNumberFormat="1" applyFont="1"/>
    <xf numFmtId="1" fontId="2" fillId="0" borderId="0" xfId="0" applyNumberFormat="1" applyFont="1"/>
    <xf numFmtId="0" fontId="2" fillId="0" borderId="0" xfId="0" applyFont="1" applyAlignment="1">
      <alignment wrapText="1"/>
    </xf>
    <xf numFmtId="0" fontId="3" fillId="0" borderId="0" xfId="0" applyFont="1"/>
    <xf numFmtId="165" fontId="3" fillId="0" borderId="0" xfId="0" applyNumberFormat="1" applyFont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164" fontId="0" fillId="0" borderId="1" xfId="0" applyNumberFormat="1" applyBorder="1" applyAlignment="1">
      <alignment horizontal="center"/>
    </xf>
    <xf numFmtId="0" fontId="9" fillId="0" borderId="9" xfId="0" applyFont="1" applyBorder="1"/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9" fillId="0" borderId="9" xfId="0" applyFont="1" applyBorder="1" applyAlignment="1">
      <alignment horizontal="left"/>
    </xf>
    <xf numFmtId="0" fontId="11" fillId="0" borderId="0" xfId="0" applyFont="1"/>
    <xf numFmtId="0" fontId="11" fillId="0" borderId="3" xfId="0" applyFont="1" applyBorder="1"/>
    <xf numFmtId="14" fontId="9" fillId="0" borderId="0" xfId="0" applyNumberFormat="1" applyFont="1" applyAlignment="1">
      <alignment horizontal="left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3" xfId="0" applyBorder="1"/>
    <xf numFmtId="0" fontId="1" fillId="2" borderId="9" xfId="0" applyFont="1" applyFill="1" applyBorder="1" applyAlignment="1">
      <alignment wrapText="1"/>
    </xf>
    <xf numFmtId="0" fontId="0" fillId="2" borderId="0" xfId="0" applyFill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1" fontId="0" fillId="0" borderId="9" xfId="0" applyNumberFormat="1" applyBorder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10" xfId="0" applyNumberForma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8" xfId="0" applyBorder="1"/>
    <xf numFmtId="3" fontId="0" fillId="0" borderId="4" xfId="0" applyNumberFormat="1" applyBorder="1" applyAlignment="1">
      <alignment vertical="center"/>
    </xf>
    <xf numFmtId="0" fontId="0" fillId="2" borderId="9" xfId="0" applyFill="1" applyBorder="1"/>
    <xf numFmtId="1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12" xfId="0" applyFont="1" applyBorder="1"/>
    <xf numFmtId="0" fontId="6" fillId="0" borderId="13" xfId="0" applyFont="1" applyBorder="1"/>
    <xf numFmtId="164" fontId="0" fillId="0" borderId="0" xfId="0" applyNumberFormat="1" applyAlignment="1">
      <alignment horizontal="right" vertical="center"/>
    </xf>
    <xf numFmtId="1" fontId="0" fillId="0" borderId="0" xfId="0" applyNumberFormat="1"/>
    <xf numFmtId="0" fontId="5" fillId="0" borderId="13" xfId="0" applyFont="1" applyBorder="1"/>
    <xf numFmtId="0" fontId="5" fillId="0" borderId="12" xfId="0" applyFont="1" applyBorder="1"/>
    <xf numFmtId="164" fontId="0" fillId="0" borderId="1" xfId="0" applyNumberFormat="1" applyBorder="1" applyAlignment="1">
      <alignment horizontal="right" vertical="center"/>
    </xf>
    <xf numFmtId="1" fontId="0" fillId="0" borderId="1" xfId="0" applyNumberFormat="1" applyBorder="1"/>
    <xf numFmtId="0" fontId="0" fillId="0" borderId="4" xfId="0" applyBorder="1"/>
    <xf numFmtId="2" fontId="0" fillId="0" borderId="0" xfId="0" applyNumberForma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4" borderId="15" xfId="1" applyNumberFormat="1" applyFont="1" applyBorder="1" applyAlignment="1">
      <alignment horizontal="center"/>
    </xf>
    <xf numFmtId="2" fontId="0" fillId="4" borderId="15" xfId="1" applyNumberFormat="1" applyFont="1" applyBorder="1" applyAlignment="1">
      <alignment horizontal="center" vertical="center"/>
    </xf>
    <xf numFmtId="1" fontId="0" fillId="4" borderId="15" xfId="1" applyNumberFormat="1" applyFont="1" applyBorder="1" applyAlignment="1">
      <alignment horizontal="center"/>
    </xf>
    <xf numFmtId="0" fontId="7" fillId="3" borderId="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/>
    </xf>
    <xf numFmtId="0" fontId="7" fillId="3" borderId="7" xfId="0" applyFont="1" applyFill="1" applyBorder="1" applyAlignment="1">
      <alignment horizontal="left"/>
    </xf>
    <xf numFmtId="0" fontId="8" fillId="3" borderId="8" xfId="0" applyFont="1" applyFill="1" applyBorder="1" applyAlignment="1">
      <alignment horizontal="left"/>
    </xf>
    <xf numFmtId="0" fontId="8" fillId="3" borderId="1" xfId="0" applyFont="1" applyFill="1" applyBorder="1" applyAlignment="1">
      <alignment horizontal="left"/>
    </xf>
    <xf numFmtId="0" fontId="8" fillId="3" borderId="4" xfId="0" applyFont="1" applyFill="1" applyBorder="1" applyAlignment="1">
      <alignment horizontal="left"/>
    </xf>
    <xf numFmtId="165" fontId="2" fillId="0" borderId="0" xfId="0" applyNumberFormat="1" applyFont="1"/>
  </cellXfs>
  <cellStyles count="2">
    <cellStyle name="Notiz" xfId="1" builtinId="10"/>
    <cellStyle name="Standard" xfId="0" builtinId="0"/>
  </cellStyles>
  <dxfs count="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EFDF0"/>
        </patternFill>
      </fill>
    </dxf>
  </dxfs>
  <tableStyles count="0" defaultTableStyle="TableStyleMedium2" defaultPivotStyle="PivotStyleLight16"/>
  <colors>
    <mruColors>
      <color rgb="FFFEFD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X357"/>
  <sheetViews>
    <sheetView tabSelected="1" zoomScale="115" zoomScaleNormal="115" workbookViewId="0">
      <selection activeCell="C14" sqref="C14"/>
    </sheetView>
  </sheetViews>
  <sheetFormatPr baseColWidth="10" defaultRowHeight="15" x14ac:dyDescent="0.25"/>
  <cols>
    <col min="1" max="1" width="11.42578125" style="5"/>
    <col min="2" max="2" width="37.7109375" style="5" customWidth="1"/>
    <col min="3" max="3" width="17" style="5" customWidth="1"/>
    <col min="4" max="4" width="18.140625" style="5" customWidth="1"/>
    <col min="5" max="5" width="16.5703125" style="5" customWidth="1"/>
    <col min="6" max="6" width="15.7109375" style="5" customWidth="1"/>
    <col min="7" max="7" width="20.42578125" style="5" customWidth="1"/>
    <col min="8" max="8" width="11.42578125" style="5"/>
    <col min="9" max="9" width="13.5703125" style="5" customWidth="1"/>
    <col min="10" max="15" width="11.42578125" style="8"/>
    <col min="16" max="16384" width="11.42578125" style="5"/>
  </cols>
  <sheetData>
    <row r="1" spans="2:24" x14ac:dyDescent="0.25">
      <c r="B1" s="61" t="s">
        <v>24</v>
      </c>
      <c r="C1" s="62"/>
      <c r="D1" s="62"/>
      <c r="E1" s="62"/>
      <c r="F1" s="62"/>
      <c r="G1" s="63"/>
      <c r="J1" s="8">
        <v>1</v>
      </c>
    </row>
    <row r="2" spans="2:24" x14ac:dyDescent="0.25">
      <c r="B2" s="64" t="s">
        <v>15</v>
      </c>
      <c r="C2" s="65"/>
      <c r="D2" s="65"/>
      <c r="E2" s="65"/>
      <c r="F2" s="65"/>
      <c r="G2" s="66"/>
    </row>
    <row r="3" spans="2:24" x14ac:dyDescent="0.25">
      <c r="B3" s="15" t="s">
        <v>16</v>
      </c>
      <c r="C3" s="16"/>
      <c r="D3" s="17"/>
      <c r="E3" s="17"/>
      <c r="F3" s="17"/>
      <c r="G3" s="18"/>
    </row>
    <row r="4" spans="2:24" ht="15.75" x14ac:dyDescent="0.25">
      <c r="B4" s="19" t="s">
        <v>17</v>
      </c>
      <c r="C4" s="16"/>
      <c r="D4" s="20"/>
      <c r="E4" s="20"/>
      <c r="F4" s="20"/>
      <c r="G4" s="21"/>
    </row>
    <row r="5" spans="2:24" ht="15.75" x14ac:dyDescent="0.25">
      <c r="B5" s="19" t="s">
        <v>18</v>
      </c>
      <c r="C5" s="22"/>
      <c r="D5" s="23"/>
      <c r="E5" s="23"/>
      <c r="F5" s="23"/>
      <c r="G5" s="24"/>
    </row>
    <row r="6" spans="2:24" ht="15.75" x14ac:dyDescent="0.25">
      <c r="B6" s="19" t="s">
        <v>19</v>
      </c>
      <c r="C6" s="22"/>
      <c r="D6" s="23"/>
      <c r="E6" s="23"/>
      <c r="F6" s="23"/>
      <c r="G6" s="24"/>
    </row>
    <row r="7" spans="2:24" x14ac:dyDescent="0.25">
      <c r="B7" s="15" t="s">
        <v>20</v>
      </c>
      <c r="C7" s="16"/>
      <c r="D7" s="17"/>
      <c r="E7" s="17"/>
      <c r="F7" s="17"/>
      <c r="G7" s="18"/>
    </row>
    <row r="8" spans="2:24" customFormat="1" x14ac:dyDescent="0.25">
      <c r="B8" s="15" t="s">
        <v>21</v>
      </c>
      <c r="C8" s="25"/>
      <c r="D8" s="17"/>
      <c r="E8" s="17"/>
      <c r="F8" s="17"/>
      <c r="G8" s="18"/>
      <c r="H8" s="5"/>
      <c r="I8" s="5"/>
      <c r="J8" s="8"/>
      <c r="K8" s="8"/>
      <c r="L8" s="8"/>
      <c r="M8" s="8"/>
      <c r="N8" s="8"/>
      <c r="O8" s="8"/>
      <c r="P8" s="5"/>
      <c r="Q8" s="5"/>
      <c r="R8" s="5"/>
      <c r="S8" s="5"/>
      <c r="T8" s="5"/>
      <c r="U8" s="5"/>
      <c r="V8" s="5"/>
      <c r="W8" s="5"/>
      <c r="X8" s="5"/>
    </row>
    <row r="9" spans="2:24" customFormat="1" x14ac:dyDescent="0.25">
      <c r="B9" s="26" t="s">
        <v>27</v>
      </c>
      <c r="C9" s="27"/>
      <c r="D9" s="27" t="s">
        <v>2</v>
      </c>
      <c r="E9" s="27"/>
      <c r="F9" s="27"/>
      <c r="G9" s="28"/>
      <c r="H9" s="5"/>
      <c r="I9" s="5"/>
      <c r="J9" s="8"/>
      <c r="K9" s="8"/>
      <c r="L9" s="8"/>
      <c r="M9" s="8"/>
      <c r="N9" s="8"/>
      <c r="O9" s="8"/>
      <c r="P9" s="5"/>
      <c r="Q9" s="5"/>
      <c r="R9" s="5"/>
      <c r="S9" s="5"/>
      <c r="T9" s="5"/>
      <c r="U9" s="5"/>
      <c r="V9" s="5"/>
      <c r="W9" s="5"/>
      <c r="X9" s="5"/>
    </row>
    <row r="10" spans="2:24" customFormat="1" x14ac:dyDescent="0.25">
      <c r="B10" s="29" t="s">
        <v>22</v>
      </c>
      <c r="D10" t="s">
        <v>3</v>
      </c>
      <c r="G10" s="30"/>
      <c r="H10" s="5"/>
      <c r="I10" s="5"/>
      <c r="J10" s="8"/>
      <c r="K10" s="8"/>
      <c r="L10" s="8"/>
      <c r="M10" s="8"/>
      <c r="N10" s="8"/>
      <c r="O10" s="8"/>
      <c r="P10" s="5"/>
      <c r="Q10" s="5"/>
      <c r="R10" s="5"/>
      <c r="S10" s="5"/>
      <c r="T10" s="5"/>
      <c r="U10" s="5"/>
      <c r="V10" s="5"/>
      <c r="W10" s="5"/>
      <c r="X10" s="5"/>
    </row>
    <row r="11" spans="2:24" customFormat="1" x14ac:dyDescent="0.25">
      <c r="B11" s="29" t="s">
        <v>23</v>
      </c>
      <c r="D11" t="s">
        <v>3</v>
      </c>
      <c r="G11" s="30"/>
      <c r="H11" s="5"/>
      <c r="I11" s="5"/>
      <c r="J11" s="8"/>
      <c r="K11" s="8"/>
      <c r="L11" s="8"/>
      <c r="M11" s="8"/>
      <c r="N11" s="8"/>
      <c r="O11" s="8"/>
      <c r="P11" s="5"/>
      <c r="Q11" s="5"/>
      <c r="R11" s="5"/>
      <c r="S11" s="5"/>
      <c r="T11" s="5"/>
      <c r="U11" s="5"/>
      <c r="V11" s="5"/>
      <c r="W11" s="5"/>
      <c r="X11" s="5"/>
    </row>
    <row r="12" spans="2:24" customFormat="1" x14ac:dyDescent="0.25">
      <c r="B12" s="29"/>
      <c r="G12" s="30"/>
      <c r="H12" s="5"/>
      <c r="I12" s="5"/>
      <c r="J12" s="8"/>
      <c r="K12" s="8"/>
      <c r="L12" s="8"/>
      <c r="M12" s="8"/>
      <c r="N12" s="8"/>
      <c r="O12" s="8"/>
      <c r="P12" s="5"/>
      <c r="Q12" s="5"/>
      <c r="R12" s="5"/>
      <c r="S12" s="5"/>
      <c r="T12" s="5"/>
      <c r="U12" s="5"/>
      <c r="V12" s="5"/>
      <c r="W12" s="5"/>
      <c r="X12" s="5"/>
    </row>
    <row r="13" spans="2:24" s="1" customFormat="1" ht="31.5" x14ac:dyDescent="0.35">
      <c r="B13" s="31" t="s">
        <v>26</v>
      </c>
      <c r="C13" s="32" t="s">
        <v>8</v>
      </c>
      <c r="D13" s="32" t="s">
        <v>4</v>
      </c>
      <c r="E13" s="32" t="s">
        <v>9</v>
      </c>
      <c r="F13" s="32" t="s">
        <v>1</v>
      </c>
      <c r="G13" s="33" t="s">
        <v>6</v>
      </c>
      <c r="H13" s="9"/>
      <c r="I13" s="9"/>
      <c r="R13" s="9"/>
      <c r="S13" s="9"/>
      <c r="T13" s="9"/>
      <c r="U13" s="9"/>
      <c r="V13" s="9"/>
      <c r="W13" s="9"/>
      <c r="X13" s="9"/>
    </row>
    <row r="14" spans="2:24" customFormat="1" x14ac:dyDescent="0.25">
      <c r="B14" s="34" t="s">
        <v>0</v>
      </c>
      <c r="C14" s="35">
        <f>COS(PI()/180*C$10)*D14*J$1*J$1+(SIN(PI()/180*C$10)*E14)*J$1</f>
        <v>0</v>
      </c>
      <c r="D14" s="35"/>
      <c r="E14" s="36"/>
      <c r="F14" s="56">
        <f>IF(C14=0,0,G14/ABS(C14))</f>
        <v>0</v>
      </c>
      <c r="G14" s="57">
        <f>$C$9*E14</f>
        <v>0</v>
      </c>
      <c r="H14" s="5"/>
      <c r="I14" s="6"/>
      <c r="J14" s="8"/>
      <c r="K14" s="8"/>
      <c r="L14" s="8"/>
      <c r="M14" s="8"/>
      <c r="N14" s="8"/>
      <c r="O14" s="8"/>
      <c r="P14" s="5"/>
      <c r="Q14" s="5"/>
      <c r="R14" s="5"/>
      <c r="S14" s="5"/>
      <c r="T14" s="5"/>
      <c r="U14" s="5"/>
      <c r="V14" s="5"/>
      <c r="W14" s="5"/>
      <c r="X14" s="5"/>
    </row>
    <row r="15" spans="2:24" customFormat="1" x14ac:dyDescent="0.25">
      <c r="B15" s="34"/>
      <c r="C15" s="35"/>
      <c r="D15" s="35"/>
      <c r="F15" s="56"/>
      <c r="G15" s="57"/>
      <c r="H15" s="5"/>
      <c r="I15" s="6"/>
      <c r="J15" s="8"/>
      <c r="K15" s="8"/>
      <c r="L15" s="8"/>
      <c r="M15" s="8"/>
      <c r="N15" s="8"/>
      <c r="O15" s="8"/>
      <c r="P15" s="5"/>
      <c r="Q15" s="5"/>
      <c r="R15" s="5"/>
      <c r="S15" s="5"/>
      <c r="T15" s="5"/>
      <c r="U15" s="5"/>
      <c r="V15" s="5"/>
      <c r="W15" s="5"/>
      <c r="X15" s="5"/>
    </row>
    <row r="16" spans="2:24" customFormat="1" x14ac:dyDescent="0.25">
      <c r="B16" s="37" t="s">
        <v>12</v>
      </c>
      <c r="C16" s="58"/>
      <c r="D16" s="4">
        <f>C16/COS(PI()/180*$C$10)</f>
        <v>0</v>
      </c>
      <c r="E16" s="4" t="e">
        <f>G16/$C$9</f>
        <v>#DIV/0!</v>
      </c>
      <c r="F16" s="59"/>
      <c r="G16" s="38">
        <f>C16*F16</f>
        <v>0</v>
      </c>
      <c r="H16" s="5"/>
      <c r="I16" s="6"/>
      <c r="J16" s="8"/>
      <c r="K16" s="8"/>
      <c r="L16" s="8"/>
      <c r="M16" s="8"/>
      <c r="N16" s="8"/>
      <c r="O16" s="8"/>
      <c r="P16" s="5"/>
      <c r="Q16" s="5"/>
      <c r="R16" s="5"/>
      <c r="S16" s="5"/>
      <c r="T16" s="5"/>
      <c r="U16" s="5"/>
      <c r="V16" s="5"/>
      <c r="W16" s="5"/>
      <c r="X16" s="5"/>
    </row>
    <row r="17" spans="2:24" customFormat="1" x14ac:dyDescent="0.25">
      <c r="B17" s="39"/>
      <c r="C17" s="2"/>
      <c r="D17" s="2"/>
      <c r="E17" s="3"/>
      <c r="F17" s="3"/>
      <c r="G17" s="40"/>
      <c r="H17" s="5"/>
      <c r="I17" s="5"/>
      <c r="J17" s="8"/>
      <c r="K17" s="8"/>
      <c r="L17" s="8"/>
      <c r="M17" s="8"/>
      <c r="N17" s="8"/>
      <c r="O17" s="8"/>
      <c r="P17" s="5"/>
      <c r="Q17" s="5"/>
      <c r="R17" s="5"/>
      <c r="S17" s="5"/>
      <c r="T17" s="5"/>
      <c r="U17" s="5"/>
      <c r="V17" s="5"/>
      <c r="W17" s="5"/>
      <c r="X17" s="5"/>
    </row>
    <row r="18" spans="2:24" customFormat="1" x14ac:dyDescent="0.25">
      <c r="B18" s="41" t="s">
        <v>7</v>
      </c>
      <c r="C18" s="42">
        <f>SUM(C14:C17)</f>
        <v>0</v>
      </c>
      <c r="D18" s="42">
        <f>SUM(D14:D17)</f>
        <v>0</v>
      </c>
      <c r="E18" s="43" t="e">
        <f>SUM(E14:E17)</f>
        <v>#DIV/0!</v>
      </c>
      <c r="F18" s="44" t="e">
        <f>G18/ABS(C18)</f>
        <v>#DIV/0!</v>
      </c>
      <c r="G18" s="45">
        <f>SUM(G14:G17)</f>
        <v>0</v>
      </c>
      <c r="H18" s="5"/>
      <c r="I18" s="5"/>
      <c r="J18" s="8"/>
      <c r="K18" s="8"/>
      <c r="L18" s="8"/>
      <c r="M18" s="8"/>
      <c r="N18" s="8"/>
      <c r="O18" s="8"/>
      <c r="P18" s="5"/>
      <c r="Q18" s="5"/>
      <c r="R18" s="5"/>
      <c r="S18" s="5"/>
      <c r="T18" s="5"/>
      <c r="U18" s="5"/>
      <c r="V18" s="5"/>
      <c r="W18" s="5"/>
      <c r="X18" s="5"/>
    </row>
    <row r="19" spans="2:24" customFormat="1" x14ac:dyDescent="0.25">
      <c r="B19" s="29"/>
      <c r="F19" s="46"/>
      <c r="G19" s="30"/>
      <c r="H19" s="5"/>
      <c r="I19" s="5"/>
      <c r="J19" s="8"/>
      <c r="K19" s="8"/>
      <c r="L19" s="8"/>
      <c r="M19" s="8"/>
      <c r="N19" s="8"/>
      <c r="O19" s="8"/>
      <c r="P19" s="5"/>
      <c r="Q19" s="5"/>
      <c r="R19" s="5"/>
      <c r="S19" s="5"/>
      <c r="T19" s="5"/>
      <c r="U19" s="5"/>
      <c r="V19" s="5"/>
      <c r="W19" s="5"/>
      <c r="X19" s="5"/>
    </row>
    <row r="20" spans="2:24" customFormat="1" x14ac:dyDescent="0.25">
      <c r="B20" s="47" t="s">
        <v>5</v>
      </c>
      <c r="C20" s="13" t="s">
        <v>11</v>
      </c>
      <c r="D20" s="12" t="s">
        <v>10</v>
      </c>
      <c r="E20" s="2"/>
      <c r="F20" s="14"/>
      <c r="G20" s="30"/>
      <c r="H20" s="5"/>
      <c r="I20" s="5"/>
      <c r="J20" s="8"/>
      <c r="K20" s="8"/>
      <c r="L20" s="8"/>
      <c r="M20" s="8"/>
      <c r="N20" s="8"/>
      <c r="O20" s="8"/>
      <c r="P20" s="5"/>
      <c r="Q20" s="5"/>
      <c r="R20" s="5"/>
      <c r="S20" s="5"/>
      <c r="T20" s="5"/>
      <c r="U20" s="5"/>
      <c r="V20" s="5"/>
      <c r="W20" s="5"/>
      <c r="X20" s="5"/>
    </row>
    <row r="21" spans="2:24" customFormat="1" x14ac:dyDescent="0.25">
      <c r="B21" s="48" t="s">
        <v>13</v>
      </c>
      <c r="C21" s="49" t="e">
        <f>ABS($E$14)/$D$14</f>
        <v>#DIV/0!</v>
      </c>
      <c r="D21" t="str">
        <f>CONCATENATE("=ABS(",TEXT(E14,"0,0"),"/",TEXT(D14,"0,0"),")")</f>
        <v>=ABS(0,0/0,0)</v>
      </c>
      <c r="E21" s="5"/>
      <c r="F21" s="50"/>
      <c r="G21" s="30"/>
      <c r="H21" s="5"/>
      <c r="I21" s="5"/>
      <c r="J21" s="8"/>
      <c r="K21" s="8"/>
      <c r="L21" s="8"/>
      <c r="M21" s="8"/>
      <c r="N21" s="8"/>
      <c r="O21" s="8"/>
      <c r="P21" s="5"/>
      <c r="Q21" s="5"/>
      <c r="R21" s="5"/>
      <c r="S21" s="5"/>
      <c r="T21" s="5"/>
      <c r="U21" s="5"/>
      <c r="V21" s="5"/>
      <c r="W21" s="5"/>
      <c r="X21" s="5"/>
    </row>
    <row r="22" spans="2:24" customFormat="1" x14ac:dyDescent="0.25">
      <c r="B22" s="51" t="s">
        <v>14</v>
      </c>
      <c r="C22" s="49" t="e">
        <f>ABS($E$18)/$D$18</f>
        <v>#DIV/0!</v>
      </c>
      <c r="D22" t="e">
        <f>CONCATENATE("=ABS(",TEXT(E18,"0,0"),"/",TEXT(D18,"0,0"),")")</f>
        <v>#DIV/0!</v>
      </c>
      <c r="F22" s="50"/>
      <c r="G22" s="30"/>
      <c r="H22" s="5"/>
      <c r="I22" s="5"/>
      <c r="J22" s="8"/>
      <c r="K22" s="8"/>
      <c r="L22" s="8"/>
      <c r="M22" s="8"/>
      <c r="N22" s="8"/>
      <c r="O22" s="8"/>
      <c r="P22" s="5"/>
      <c r="Q22" s="5"/>
      <c r="R22" s="5"/>
      <c r="S22" s="5"/>
      <c r="T22" s="5"/>
      <c r="U22" s="5"/>
      <c r="V22" s="5"/>
      <c r="W22" s="5"/>
      <c r="X22" s="5"/>
    </row>
    <row r="23" spans="2:24" customFormat="1" x14ac:dyDescent="0.25">
      <c r="B23" s="29"/>
      <c r="D23" s="5"/>
      <c r="F23" s="50"/>
      <c r="G23" s="30"/>
      <c r="H23" s="5"/>
      <c r="I23" s="5"/>
      <c r="J23" s="8"/>
      <c r="K23" s="8"/>
      <c r="L23" s="8"/>
      <c r="M23" s="8"/>
      <c r="N23" s="8"/>
      <c r="O23" s="8"/>
      <c r="P23" s="5"/>
      <c r="Q23" s="5"/>
      <c r="R23" s="5"/>
      <c r="S23" s="5"/>
      <c r="T23" s="5"/>
      <c r="U23" s="5"/>
      <c r="V23" s="5"/>
      <c r="W23" s="5"/>
      <c r="X23" s="5"/>
    </row>
    <row r="24" spans="2:24" customFormat="1" x14ac:dyDescent="0.25">
      <c r="B24" s="29"/>
      <c r="E24" s="50"/>
      <c r="G24" s="30"/>
      <c r="H24" s="5"/>
      <c r="I24" s="5"/>
      <c r="J24" s="8"/>
      <c r="K24" s="8"/>
      <c r="L24" s="8"/>
      <c r="M24" s="8"/>
      <c r="N24" s="8"/>
      <c r="O24" s="8"/>
      <c r="P24" s="5"/>
      <c r="Q24" s="5"/>
      <c r="R24" s="5"/>
      <c r="S24" s="5"/>
      <c r="T24" s="5"/>
      <c r="U24" s="5"/>
      <c r="V24" s="5"/>
      <c r="W24" s="5"/>
      <c r="X24" s="5"/>
    </row>
    <row r="25" spans="2:24" customFormat="1" x14ac:dyDescent="0.25">
      <c r="B25" s="29"/>
      <c r="F25" s="50"/>
      <c r="G25" s="30"/>
      <c r="H25" s="5"/>
      <c r="I25" s="5"/>
      <c r="J25" s="8"/>
      <c r="K25" s="8"/>
      <c r="L25" s="8"/>
      <c r="M25" s="8"/>
      <c r="N25" s="8"/>
      <c r="O25" s="8"/>
      <c r="P25" s="5"/>
      <c r="Q25" s="5"/>
      <c r="R25" s="5"/>
      <c r="S25" s="5"/>
      <c r="T25" s="5"/>
      <c r="U25" s="5"/>
      <c r="V25" s="5"/>
      <c r="W25" s="5"/>
      <c r="X25" s="5"/>
    </row>
    <row r="26" spans="2:24" customFormat="1" ht="31.5" customHeight="1" x14ac:dyDescent="0.35">
      <c r="B26" s="31" t="s">
        <v>25</v>
      </c>
      <c r="C26" s="32" t="s">
        <v>8</v>
      </c>
      <c r="D26" s="32" t="s">
        <v>4</v>
      </c>
      <c r="E26" s="32" t="s">
        <v>9</v>
      </c>
      <c r="F26" s="32" t="s">
        <v>1</v>
      </c>
      <c r="G26" s="33" t="s">
        <v>6</v>
      </c>
      <c r="H26" s="5"/>
      <c r="I26" s="5"/>
      <c r="J26" s="8"/>
      <c r="K26" s="8"/>
      <c r="L26" s="8"/>
      <c r="M26" s="8"/>
      <c r="N26" s="8"/>
      <c r="O26" s="8"/>
      <c r="P26" s="5"/>
      <c r="Q26" s="5"/>
      <c r="R26" s="5"/>
      <c r="S26" s="5"/>
      <c r="T26" s="5"/>
      <c r="U26" s="5"/>
      <c r="V26" s="5"/>
      <c r="W26" s="5"/>
      <c r="X26" s="5"/>
    </row>
    <row r="27" spans="2:24" customFormat="1" x14ac:dyDescent="0.25">
      <c r="B27" s="34" t="s">
        <v>0</v>
      </c>
      <c r="C27" s="35">
        <f>COS(PI()/180*C$11)*D27*J$1*J$1+(SIN(PI()/180*C$11)*E27)*J$1</f>
        <v>0</v>
      </c>
      <c r="D27" s="35"/>
      <c r="E27" s="36"/>
      <c r="F27" s="56">
        <f>IF(C27=0,0,G27/ABS(C27))</f>
        <v>0</v>
      </c>
      <c r="G27" s="57">
        <f>$C$9*E27</f>
        <v>0</v>
      </c>
      <c r="H27" s="5"/>
      <c r="I27" s="5"/>
      <c r="J27" s="8"/>
      <c r="K27" s="8"/>
      <c r="L27" s="8"/>
      <c r="M27" s="8"/>
      <c r="N27" s="8"/>
      <c r="O27" s="8"/>
      <c r="P27" s="5"/>
      <c r="Q27" s="5"/>
      <c r="R27" s="5"/>
      <c r="S27" s="5"/>
      <c r="T27" s="5"/>
      <c r="U27" s="5"/>
      <c r="V27" s="5"/>
      <c r="W27" s="5"/>
      <c r="X27" s="5"/>
    </row>
    <row r="28" spans="2:24" customFormat="1" x14ac:dyDescent="0.25">
      <c r="B28" s="34"/>
      <c r="C28" s="35"/>
      <c r="D28" s="35"/>
      <c r="E28" s="36"/>
      <c r="F28" s="56"/>
      <c r="G28" s="57"/>
      <c r="H28" s="5"/>
      <c r="I28" s="5"/>
      <c r="J28" s="8"/>
      <c r="K28" s="8"/>
      <c r="L28" s="8"/>
      <c r="M28" s="8"/>
      <c r="N28" s="8"/>
      <c r="O28" s="8"/>
      <c r="P28" s="5"/>
      <c r="Q28" s="5"/>
      <c r="R28" s="5"/>
      <c r="S28" s="5"/>
      <c r="T28" s="5"/>
      <c r="U28" s="5"/>
      <c r="V28" s="5"/>
      <c r="W28" s="5"/>
      <c r="X28" s="5"/>
    </row>
    <row r="29" spans="2:24" customFormat="1" x14ac:dyDescent="0.25">
      <c r="B29" s="37" t="s">
        <v>12</v>
      </c>
      <c r="C29" s="60"/>
      <c r="D29" s="4">
        <f>C29/COS(PI()/180*$C$10)</f>
        <v>0</v>
      </c>
      <c r="E29" s="4" t="e">
        <f>G29/$C$9</f>
        <v>#DIV/0!</v>
      </c>
      <c r="F29" s="59"/>
      <c r="G29" s="38">
        <f>C29*F29</f>
        <v>0</v>
      </c>
      <c r="H29" s="5"/>
      <c r="I29" s="5"/>
      <c r="J29" s="8"/>
      <c r="K29" s="8"/>
      <c r="L29" s="8"/>
      <c r="M29" s="8"/>
      <c r="N29" s="8"/>
      <c r="O29" s="8"/>
      <c r="P29" s="5"/>
      <c r="Q29" s="5"/>
      <c r="R29" s="5"/>
      <c r="S29" s="5"/>
      <c r="T29" s="5"/>
      <c r="U29" s="5"/>
      <c r="V29" s="5"/>
      <c r="W29" s="5"/>
      <c r="X29" s="5"/>
    </row>
    <row r="30" spans="2:24" customFormat="1" x14ac:dyDescent="0.25">
      <c r="B30" s="39"/>
      <c r="C30" s="2"/>
      <c r="D30" s="2"/>
      <c r="E30" s="3"/>
      <c r="F30" s="3"/>
      <c r="G30" s="40"/>
      <c r="H30" s="5"/>
      <c r="I30" s="5"/>
      <c r="J30" s="8"/>
      <c r="K30" s="8"/>
      <c r="L30" s="8"/>
      <c r="M30" s="8"/>
      <c r="N30" s="8"/>
      <c r="O30" s="8"/>
      <c r="P30" s="5"/>
      <c r="Q30" s="5"/>
      <c r="R30" s="5"/>
      <c r="S30" s="5"/>
      <c r="T30" s="5"/>
      <c r="U30" s="5"/>
      <c r="V30" s="5"/>
      <c r="W30" s="5"/>
      <c r="X30" s="5"/>
    </row>
    <row r="31" spans="2:24" customFormat="1" x14ac:dyDescent="0.25">
      <c r="B31" s="41" t="s">
        <v>7</v>
      </c>
      <c r="C31" s="42">
        <f>SUM(C27:C30)</f>
        <v>0</v>
      </c>
      <c r="D31" s="42">
        <f>SUM(D27:D30)</f>
        <v>0</v>
      </c>
      <c r="E31" s="43" t="e">
        <f>SUM(E27:E30)</f>
        <v>#DIV/0!</v>
      </c>
      <c r="F31" s="44" t="e">
        <f>G31/ABS(C31)</f>
        <v>#DIV/0!</v>
      </c>
      <c r="G31" s="45">
        <f>SUM(G27:G30)</f>
        <v>0</v>
      </c>
      <c r="H31" s="5"/>
      <c r="I31" s="5"/>
      <c r="J31" s="8"/>
      <c r="K31" s="8"/>
      <c r="L31" s="8"/>
      <c r="M31" s="8"/>
      <c r="N31" s="8"/>
      <c r="O31" s="8"/>
      <c r="P31" s="5"/>
      <c r="Q31" s="5"/>
      <c r="R31" s="5"/>
      <c r="S31" s="5"/>
      <c r="T31" s="5"/>
      <c r="U31" s="5"/>
      <c r="V31" s="5"/>
      <c r="W31" s="5"/>
      <c r="X31" s="5"/>
    </row>
    <row r="32" spans="2:24" customFormat="1" x14ac:dyDescent="0.25">
      <c r="B32" s="29"/>
      <c r="F32" s="46"/>
      <c r="G32" s="30"/>
      <c r="H32" s="5"/>
      <c r="I32" s="5"/>
      <c r="J32" s="8"/>
      <c r="K32" s="8"/>
      <c r="L32" s="8"/>
      <c r="M32" s="8"/>
      <c r="N32" s="8"/>
      <c r="O32" s="8"/>
      <c r="P32" s="5"/>
      <c r="Q32" s="5"/>
      <c r="R32" s="5"/>
      <c r="S32" s="5"/>
      <c r="T32" s="5"/>
      <c r="U32" s="5"/>
      <c r="V32" s="5"/>
      <c r="W32" s="5"/>
      <c r="X32" s="5"/>
    </row>
    <row r="33" spans="1:24" customFormat="1" x14ac:dyDescent="0.25">
      <c r="B33" s="47" t="s">
        <v>5</v>
      </c>
      <c r="C33" s="13" t="s">
        <v>11</v>
      </c>
      <c r="D33" s="12" t="s">
        <v>10</v>
      </c>
      <c r="E33" s="2"/>
      <c r="F33" s="14"/>
      <c r="G33" s="30"/>
      <c r="H33" s="5"/>
      <c r="I33" s="5"/>
      <c r="J33" s="8"/>
      <c r="K33" s="8"/>
      <c r="L33" s="8"/>
      <c r="M33" s="8"/>
      <c r="N33" s="8"/>
      <c r="O33" s="8"/>
      <c r="P33" s="5"/>
      <c r="Q33" s="5"/>
      <c r="R33" s="5"/>
      <c r="S33" s="5"/>
      <c r="T33" s="5"/>
      <c r="U33" s="5"/>
      <c r="V33" s="5"/>
      <c r="W33" s="5"/>
      <c r="X33" s="5"/>
    </row>
    <row r="34" spans="1:24" customFormat="1" x14ac:dyDescent="0.25">
      <c r="B34" s="48" t="s">
        <v>13</v>
      </c>
      <c r="C34" s="49" t="e">
        <f>ABS($E$27)/$D$27</f>
        <v>#DIV/0!</v>
      </c>
      <c r="D34" t="str">
        <f>CONCATENATE("=ABS(",TEXT(E27,"0,0"),"/",TEXT(D27,"0,0"),")")</f>
        <v>=ABS(0,0/0,0)</v>
      </c>
      <c r="F34" s="50"/>
      <c r="G34" s="30"/>
      <c r="H34" s="5"/>
      <c r="I34" s="5"/>
      <c r="J34" s="8"/>
      <c r="K34" s="8"/>
      <c r="L34" s="8"/>
      <c r="M34" s="8"/>
      <c r="N34" s="8"/>
      <c r="O34" s="8"/>
      <c r="P34" s="5"/>
      <c r="Q34" s="5"/>
      <c r="R34" s="5"/>
      <c r="S34" s="5"/>
      <c r="T34" s="5"/>
      <c r="U34" s="5"/>
      <c r="V34" s="5"/>
      <c r="W34" s="5"/>
      <c r="X34" s="5"/>
    </row>
    <row r="35" spans="1:24" customFormat="1" x14ac:dyDescent="0.25">
      <c r="B35" s="52" t="s">
        <v>14</v>
      </c>
      <c r="C35" s="53" t="e">
        <f>ABS($E$31)/$D$31</f>
        <v>#DIV/0!</v>
      </c>
      <c r="D35" s="2" t="e">
        <f>CONCATENATE("=ABS(",TEXT(E31,"0,0"),"/",TEXT(D31,"0,0"),")")</f>
        <v>#DIV/0!</v>
      </c>
      <c r="E35" s="2"/>
      <c r="F35" s="54"/>
      <c r="G35" s="55"/>
      <c r="H35" s="5"/>
      <c r="I35" s="5"/>
      <c r="J35" s="8"/>
      <c r="K35" s="8"/>
      <c r="L35" s="8"/>
      <c r="M35" s="8"/>
      <c r="N35" s="8"/>
      <c r="O35" s="8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25">
      <c r="A36" s="8"/>
      <c r="B36" s="67"/>
      <c r="C36" s="67"/>
      <c r="D36" s="67"/>
      <c r="E36" s="67"/>
      <c r="F36" s="67"/>
    </row>
    <row r="37" spans="1:24" x14ac:dyDescent="0.25">
      <c r="A37" s="8"/>
      <c r="B37" s="67"/>
      <c r="C37" s="67"/>
      <c r="D37" s="67"/>
      <c r="E37" s="67"/>
      <c r="F37" s="67"/>
    </row>
    <row r="38" spans="1:24" x14ac:dyDescent="0.25">
      <c r="A38" s="8"/>
      <c r="B38" s="67"/>
      <c r="C38" s="67"/>
      <c r="D38" s="67"/>
      <c r="E38" s="67"/>
      <c r="F38" s="67"/>
    </row>
    <row r="39" spans="1:24" x14ac:dyDescent="0.25">
      <c r="A39" s="8"/>
      <c r="B39" s="67"/>
      <c r="C39" s="67"/>
      <c r="D39" s="67"/>
      <c r="E39" s="67"/>
      <c r="F39" s="67"/>
    </row>
    <row r="40" spans="1:24" x14ac:dyDescent="0.25">
      <c r="A40" s="8"/>
      <c r="B40" s="67"/>
      <c r="C40" s="67"/>
      <c r="D40" s="67"/>
      <c r="E40" s="67"/>
      <c r="F40" s="67"/>
    </row>
    <row r="41" spans="1:24" x14ac:dyDescent="0.25">
      <c r="A41" s="8"/>
      <c r="B41" s="67"/>
      <c r="C41" s="67"/>
      <c r="D41" s="67"/>
      <c r="E41" s="67"/>
      <c r="F41" s="67"/>
    </row>
    <row r="42" spans="1:24" x14ac:dyDescent="0.25">
      <c r="A42" s="8"/>
      <c r="B42" s="67"/>
      <c r="C42" s="67"/>
      <c r="D42" s="67"/>
      <c r="E42" s="67"/>
      <c r="F42" s="67"/>
    </row>
    <row r="43" spans="1:24" x14ac:dyDescent="0.25">
      <c r="A43" s="8"/>
      <c r="B43" s="67"/>
      <c r="C43" s="67"/>
      <c r="D43" s="67"/>
      <c r="E43" s="67"/>
      <c r="F43" s="67"/>
    </row>
    <row r="44" spans="1:24" x14ac:dyDescent="0.25">
      <c r="A44" s="8"/>
      <c r="B44" s="67"/>
      <c r="C44" s="67"/>
      <c r="D44" s="67"/>
      <c r="E44" s="67"/>
      <c r="F44" s="67"/>
    </row>
    <row r="45" spans="1:24" x14ac:dyDescent="0.25">
      <c r="A45" s="8"/>
      <c r="B45" s="67"/>
      <c r="C45" s="67"/>
      <c r="D45" s="67"/>
      <c r="E45" s="67"/>
      <c r="F45" s="67"/>
    </row>
    <row r="46" spans="1:24" x14ac:dyDescent="0.25">
      <c r="A46" s="8"/>
      <c r="B46" s="67"/>
      <c r="C46" s="67"/>
      <c r="D46" s="67"/>
      <c r="E46" s="67"/>
      <c r="F46" s="67"/>
    </row>
    <row r="47" spans="1:24" x14ac:dyDescent="0.25">
      <c r="A47" s="8"/>
      <c r="B47" s="67"/>
      <c r="C47" s="67"/>
      <c r="D47" s="67"/>
      <c r="E47" s="67"/>
      <c r="F47" s="67"/>
    </row>
    <row r="48" spans="1:24" x14ac:dyDescent="0.25">
      <c r="A48" s="8"/>
      <c r="B48" s="67"/>
      <c r="C48" s="67"/>
      <c r="D48" s="67"/>
      <c r="E48" s="67"/>
      <c r="F48" s="67"/>
    </row>
    <row r="49" spans="1:6" x14ac:dyDescent="0.25">
      <c r="A49" s="8"/>
      <c r="B49" s="67"/>
      <c r="C49" s="67"/>
      <c r="D49" s="67"/>
      <c r="E49" s="67"/>
      <c r="F49" s="67"/>
    </row>
    <row r="50" spans="1:6" x14ac:dyDescent="0.25">
      <c r="A50" s="8"/>
      <c r="B50" s="67"/>
      <c r="C50" s="67"/>
      <c r="D50" s="67"/>
      <c r="E50" s="67"/>
      <c r="F50" s="67"/>
    </row>
    <row r="51" spans="1:6" x14ac:dyDescent="0.25">
      <c r="A51" s="8"/>
      <c r="B51" s="67"/>
      <c r="C51" s="67"/>
      <c r="D51" s="67"/>
      <c r="E51" s="67"/>
      <c r="F51" s="67"/>
    </row>
    <row r="52" spans="1:6" x14ac:dyDescent="0.25">
      <c r="A52" s="8"/>
      <c r="B52" s="67"/>
      <c r="C52" s="67"/>
      <c r="D52" s="67"/>
      <c r="E52" s="67"/>
      <c r="F52" s="67"/>
    </row>
    <row r="53" spans="1:6" x14ac:dyDescent="0.25">
      <c r="A53" s="8"/>
      <c r="B53" s="67"/>
      <c r="C53" s="67"/>
      <c r="D53" s="67"/>
      <c r="E53" s="67"/>
      <c r="F53" s="67"/>
    </row>
    <row r="54" spans="1:6" x14ac:dyDescent="0.25">
      <c r="A54" s="8"/>
      <c r="B54" s="67"/>
      <c r="C54" s="67"/>
      <c r="D54" s="67"/>
      <c r="E54" s="67"/>
      <c r="F54" s="67"/>
    </row>
    <row r="55" spans="1:6" x14ac:dyDescent="0.25">
      <c r="A55" s="8"/>
      <c r="B55" s="67"/>
      <c r="C55" s="67"/>
      <c r="D55" s="67"/>
      <c r="E55" s="67"/>
      <c r="F55" s="67"/>
    </row>
    <row r="56" spans="1:6" x14ac:dyDescent="0.25">
      <c r="A56" s="8"/>
      <c r="B56" s="67"/>
      <c r="C56" s="67"/>
      <c r="D56" s="67"/>
      <c r="E56" s="67"/>
      <c r="F56" s="67"/>
    </row>
    <row r="57" spans="1:6" x14ac:dyDescent="0.25">
      <c r="A57" s="8"/>
      <c r="B57" s="67"/>
      <c r="C57" s="67"/>
      <c r="D57" s="67"/>
      <c r="E57" s="67"/>
      <c r="F57" s="67"/>
    </row>
    <row r="58" spans="1:6" x14ac:dyDescent="0.25">
      <c r="A58" s="8"/>
      <c r="B58" s="67"/>
      <c r="C58" s="67"/>
      <c r="D58" s="67"/>
      <c r="E58" s="67"/>
      <c r="F58" s="67"/>
    </row>
    <row r="59" spans="1:6" x14ac:dyDescent="0.25">
      <c r="A59" s="8"/>
      <c r="B59" s="67"/>
      <c r="C59" s="67"/>
      <c r="D59" s="67"/>
      <c r="E59" s="67"/>
      <c r="F59" s="67"/>
    </row>
    <row r="60" spans="1:6" x14ac:dyDescent="0.25">
      <c r="A60" s="8"/>
      <c r="B60" s="67"/>
      <c r="C60" s="67"/>
      <c r="D60" s="67"/>
      <c r="E60" s="67"/>
      <c r="F60" s="67"/>
    </row>
    <row r="61" spans="1:6" x14ac:dyDescent="0.25">
      <c r="A61" s="8"/>
      <c r="B61" s="67"/>
      <c r="C61" s="67"/>
      <c r="D61" s="67"/>
      <c r="E61" s="67"/>
      <c r="F61" s="67"/>
    </row>
    <row r="62" spans="1:6" x14ac:dyDescent="0.25">
      <c r="A62" s="8"/>
      <c r="B62" s="67"/>
      <c r="C62" s="67"/>
      <c r="D62" s="67"/>
      <c r="E62" s="67"/>
      <c r="F62" s="67"/>
    </row>
    <row r="63" spans="1:6" x14ac:dyDescent="0.25">
      <c r="A63" s="8"/>
      <c r="B63" s="67"/>
      <c r="C63" s="67"/>
      <c r="D63" s="67"/>
      <c r="E63" s="67"/>
      <c r="F63" s="67"/>
    </row>
    <row r="64" spans="1:6" x14ac:dyDescent="0.25">
      <c r="A64" s="8"/>
      <c r="B64" s="67"/>
      <c r="C64" s="67"/>
      <c r="D64" s="67"/>
      <c r="E64" s="67"/>
      <c r="F64" s="67"/>
    </row>
    <row r="65" spans="1:6" x14ac:dyDescent="0.25">
      <c r="A65" s="8"/>
      <c r="B65" s="67"/>
      <c r="C65" s="67"/>
      <c r="D65" s="67"/>
      <c r="E65" s="67"/>
      <c r="F65" s="67"/>
    </row>
    <row r="66" spans="1:6" x14ac:dyDescent="0.25">
      <c r="A66" s="8"/>
      <c r="B66" s="67"/>
      <c r="C66" s="67"/>
      <c r="D66" s="67"/>
      <c r="E66" s="67"/>
      <c r="F66" s="67"/>
    </row>
    <row r="67" spans="1:6" x14ac:dyDescent="0.25">
      <c r="A67" s="8"/>
      <c r="B67" s="67"/>
      <c r="C67" s="67"/>
      <c r="D67" s="67"/>
      <c r="E67" s="67"/>
      <c r="F67" s="67"/>
    </row>
    <row r="68" spans="1:6" x14ac:dyDescent="0.25">
      <c r="A68" s="8"/>
      <c r="B68" s="67"/>
      <c r="C68" s="67"/>
      <c r="D68" s="67"/>
      <c r="E68" s="67"/>
      <c r="F68" s="67"/>
    </row>
    <row r="69" spans="1:6" x14ac:dyDescent="0.25">
      <c r="A69" s="8"/>
      <c r="B69" s="67"/>
      <c r="C69" s="67"/>
      <c r="D69" s="67"/>
      <c r="E69" s="67"/>
      <c r="F69" s="67"/>
    </row>
    <row r="70" spans="1:6" x14ac:dyDescent="0.25">
      <c r="A70" s="8"/>
      <c r="B70" s="67"/>
      <c r="C70" s="67"/>
      <c r="D70" s="67"/>
      <c r="E70" s="67"/>
      <c r="F70" s="67"/>
    </row>
    <row r="71" spans="1:6" x14ac:dyDescent="0.25">
      <c r="A71" s="8"/>
      <c r="B71" s="67"/>
      <c r="C71" s="67"/>
      <c r="D71" s="67"/>
      <c r="E71" s="67"/>
      <c r="F71" s="67"/>
    </row>
    <row r="72" spans="1:6" x14ac:dyDescent="0.25">
      <c r="A72" s="8"/>
      <c r="B72" s="67"/>
      <c r="C72" s="67"/>
      <c r="D72" s="67"/>
      <c r="E72" s="67"/>
      <c r="F72" s="67"/>
    </row>
    <row r="73" spans="1:6" x14ac:dyDescent="0.25">
      <c r="A73" s="8"/>
      <c r="B73" s="67"/>
      <c r="C73" s="67"/>
      <c r="D73" s="67"/>
      <c r="E73" s="67"/>
      <c r="F73" s="67"/>
    </row>
    <row r="74" spans="1:6" x14ac:dyDescent="0.25">
      <c r="A74" s="8"/>
      <c r="B74" s="67"/>
      <c r="C74" s="67"/>
      <c r="D74" s="67"/>
      <c r="E74" s="67"/>
      <c r="F74" s="67"/>
    </row>
    <row r="75" spans="1:6" x14ac:dyDescent="0.25">
      <c r="A75" s="8"/>
      <c r="B75" s="67"/>
      <c r="C75" s="67"/>
      <c r="D75" s="67"/>
      <c r="E75" s="67"/>
      <c r="F75" s="67"/>
    </row>
    <row r="76" spans="1:6" x14ac:dyDescent="0.25">
      <c r="A76" s="8"/>
      <c r="B76" s="67"/>
      <c r="C76" s="67"/>
      <c r="D76" s="67"/>
      <c r="E76" s="67"/>
      <c r="F76" s="67"/>
    </row>
    <row r="77" spans="1:6" x14ac:dyDescent="0.25">
      <c r="A77" s="8"/>
      <c r="B77" s="67"/>
      <c r="C77" s="67"/>
      <c r="D77" s="67"/>
      <c r="E77" s="67"/>
      <c r="F77" s="67"/>
    </row>
    <row r="78" spans="1:6" x14ac:dyDescent="0.25">
      <c r="A78" s="8"/>
      <c r="B78" s="67"/>
      <c r="C78" s="67"/>
      <c r="D78" s="67"/>
      <c r="E78" s="67"/>
      <c r="F78" s="67"/>
    </row>
    <row r="79" spans="1:6" x14ac:dyDescent="0.25">
      <c r="A79" s="8"/>
      <c r="B79" s="67"/>
      <c r="C79" s="67"/>
      <c r="D79" s="67"/>
      <c r="E79" s="67"/>
      <c r="F79" s="67"/>
    </row>
    <row r="80" spans="1:6" x14ac:dyDescent="0.25">
      <c r="A80" s="8"/>
      <c r="B80" s="67"/>
      <c r="C80" s="67"/>
      <c r="D80" s="67"/>
      <c r="E80" s="67"/>
      <c r="F80" s="67"/>
    </row>
    <row r="81" spans="1:6" x14ac:dyDescent="0.25">
      <c r="A81" s="8"/>
      <c r="B81" s="67"/>
      <c r="C81" s="67"/>
      <c r="D81" s="67"/>
      <c r="E81" s="67"/>
      <c r="F81" s="67"/>
    </row>
    <row r="82" spans="1:6" x14ac:dyDescent="0.25">
      <c r="A82" s="8"/>
      <c r="B82" s="67"/>
      <c r="C82" s="67"/>
      <c r="D82" s="67"/>
      <c r="E82" s="67"/>
      <c r="F82" s="67"/>
    </row>
    <row r="83" spans="1:6" x14ac:dyDescent="0.25">
      <c r="A83" s="8"/>
      <c r="B83" s="67"/>
      <c r="C83" s="67"/>
      <c r="D83" s="67"/>
      <c r="E83" s="67"/>
      <c r="F83" s="67"/>
    </row>
    <row r="84" spans="1:6" x14ac:dyDescent="0.25">
      <c r="A84" s="8"/>
      <c r="B84" s="67"/>
      <c r="C84" s="67"/>
      <c r="D84" s="67"/>
      <c r="E84" s="67"/>
      <c r="F84" s="67"/>
    </row>
    <row r="85" spans="1:6" x14ac:dyDescent="0.25">
      <c r="A85" s="8"/>
      <c r="B85" s="67"/>
      <c r="C85" s="67"/>
      <c r="D85" s="67"/>
      <c r="E85" s="67"/>
      <c r="F85" s="67"/>
    </row>
    <row r="86" spans="1:6" x14ac:dyDescent="0.25">
      <c r="A86" s="8"/>
      <c r="B86" s="67"/>
      <c r="C86" s="67"/>
      <c r="D86" s="67"/>
      <c r="E86" s="67"/>
      <c r="F86" s="67"/>
    </row>
    <row r="87" spans="1:6" x14ac:dyDescent="0.25">
      <c r="A87" s="8"/>
      <c r="B87" s="67"/>
      <c r="C87" s="67"/>
      <c r="D87" s="67"/>
      <c r="E87" s="67"/>
      <c r="F87" s="67"/>
    </row>
    <row r="88" spans="1:6" x14ac:dyDescent="0.25">
      <c r="A88" s="8"/>
      <c r="B88" s="67"/>
      <c r="C88" s="67"/>
      <c r="D88" s="67"/>
      <c r="E88" s="67"/>
      <c r="F88" s="67"/>
    </row>
    <row r="89" spans="1:6" x14ac:dyDescent="0.25">
      <c r="A89" s="8"/>
      <c r="B89" s="67"/>
      <c r="C89" s="67"/>
      <c r="D89" s="67"/>
      <c r="E89" s="67"/>
      <c r="F89" s="67"/>
    </row>
    <row r="90" spans="1:6" x14ac:dyDescent="0.25">
      <c r="A90" s="8"/>
      <c r="B90" s="67"/>
      <c r="C90" s="67"/>
      <c r="D90" s="67"/>
      <c r="E90" s="67"/>
      <c r="F90" s="67"/>
    </row>
    <row r="91" spans="1:6" x14ac:dyDescent="0.25">
      <c r="A91" s="8"/>
      <c r="B91" s="67"/>
      <c r="C91" s="67"/>
      <c r="D91" s="67"/>
      <c r="E91" s="67"/>
      <c r="F91" s="67"/>
    </row>
    <row r="92" spans="1:6" x14ac:dyDescent="0.25">
      <c r="A92" s="8"/>
      <c r="B92" s="67"/>
      <c r="C92" s="67"/>
      <c r="D92" s="67"/>
      <c r="E92" s="67"/>
      <c r="F92" s="67"/>
    </row>
    <row r="93" spans="1:6" x14ac:dyDescent="0.25">
      <c r="A93" s="8"/>
      <c r="B93" s="67"/>
      <c r="C93" s="67"/>
      <c r="D93" s="67"/>
      <c r="E93" s="67"/>
      <c r="F93" s="67"/>
    </row>
    <row r="94" spans="1:6" x14ac:dyDescent="0.25">
      <c r="A94" s="8"/>
      <c r="B94" s="67"/>
      <c r="C94" s="67"/>
      <c r="D94" s="67"/>
      <c r="E94" s="67"/>
      <c r="F94" s="67"/>
    </row>
    <row r="95" spans="1:6" x14ac:dyDescent="0.25">
      <c r="A95" s="8"/>
      <c r="B95" s="67"/>
      <c r="C95" s="67"/>
      <c r="D95" s="67"/>
      <c r="E95" s="67"/>
      <c r="F95" s="67"/>
    </row>
    <row r="96" spans="1:6" x14ac:dyDescent="0.25">
      <c r="A96" s="8"/>
      <c r="B96" s="67"/>
      <c r="C96" s="67"/>
      <c r="D96" s="67"/>
      <c r="E96" s="67"/>
      <c r="F96" s="67"/>
    </row>
    <row r="97" spans="1:6" x14ac:dyDescent="0.25">
      <c r="A97" s="8"/>
      <c r="B97" s="67"/>
      <c r="C97" s="67"/>
      <c r="D97" s="67"/>
      <c r="E97" s="67"/>
      <c r="F97" s="67"/>
    </row>
    <row r="98" spans="1:6" x14ac:dyDescent="0.25">
      <c r="A98" s="8"/>
      <c r="B98" s="67"/>
      <c r="C98" s="67"/>
      <c r="D98" s="67"/>
      <c r="E98" s="67"/>
      <c r="F98" s="67"/>
    </row>
    <row r="99" spans="1:6" x14ac:dyDescent="0.25">
      <c r="A99" s="8"/>
      <c r="B99" s="67"/>
      <c r="C99" s="67"/>
      <c r="D99" s="67"/>
      <c r="E99" s="67"/>
      <c r="F99" s="67"/>
    </row>
    <row r="100" spans="1:6" x14ac:dyDescent="0.25">
      <c r="A100" s="8"/>
      <c r="B100" s="67"/>
      <c r="C100" s="67"/>
      <c r="D100" s="67"/>
      <c r="E100" s="67"/>
      <c r="F100" s="67"/>
    </row>
    <row r="101" spans="1:6" x14ac:dyDescent="0.25">
      <c r="A101" s="8"/>
      <c r="B101" s="67"/>
      <c r="C101" s="67"/>
      <c r="D101" s="67"/>
      <c r="E101" s="67"/>
      <c r="F101" s="67"/>
    </row>
    <row r="102" spans="1:6" x14ac:dyDescent="0.25">
      <c r="A102" s="8"/>
      <c r="B102" s="67"/>
      <c r="C102" s="67"/>
      <c r="D102" s="67"/>
      <c r="E102" s="67"/>
      <c r="F102" s="67"/>
    </row>
    <row r="103" spans="1:6" x14ac:dyDescent="0.25">
      <c r="A103" s="8"/>
      <c r="B103" s="67"/>
      <c r="C103" s="67"/>
      <c r="D103" s="67"/>
      <c r="E103" s="67"/>
      <c r="F103" s="67"/>
    </row>
    <row r="104" spans="1:6" x14ac:dyDescent="0.25">
      <c r="A104" s="8"/>
      <c r="B104" s="67"/>
      <c r="C104" s="67"/>
      <c r="D104" s="67"/>
      <c r="E104" s="67"/>
      <c r="F104" s="67"/>
    </row>
    <row r="105" spans="1:6" x14ac:dyDescent="0.25">
      <c r="A105" s="8"/>
      <c r="B105" s="67"/>
      <c r="C105" s="67"/>
      <c r="D105" s="67"/>
      <c r="E105" s="67"/>
      <c r="F105" s="67"/>
    </row>
    <row r="106" spans="1:6" x14ac:dyDescent="0.25">
      <c r="A106" s="8"/>
      <c r="B106" s="67"/>
      <c r="C106" s="67"/>
      <c r="D106" s="67"/>
      <c r="E106" s="67"/>
      <c r="F106" s="67"/>
    </row>
    <row r="107" spans="1:6" x14ac:dyDescent="0.25">
      <c r="A107" s="8"/>
      <c r="B107" s="67"/>
      <c r="C107" s="67"/>
      <c r="D107" s="67"/>
      <c r="E107" s="67"/>
      <c r="F107" s="67"/>
    </row>
    <row r="108" spans="1:6" x14ac:dyDescent="0.25">
      <c r="A108" s="8"/>
      <c r="B108" s="67"/>
      <c r="C108" s="67"/>
      <c r="D108" s="67"/>
      <c r="E108" s="67"/>
      <c r="F108" s="67"/>
    </row>
    <row r="109" spans="1:6" x14ac:dyDescent="0.25">
      <c r="A109" s="8"/>
      <c r="B109" s="67"/>
      <c r="C109" s="67"/>
      <c r="D109" s="67"/>
      <c r="E109" s="67"/>
      <c r="F109" s="67"/>
    </row>
    <row r="110" spans="1:6" x14ac:dyDescent="0.25">
      <c r="A110" s="8"/>
      <c r="B110" s="67"/>
      <c r="C110" s="67"/>
      <c r="D110" s="67"/>
      <c r="E110" s="67"/>
      <c r="F110" s="67"/>
    </row>
    <row r="111" spans="1:6" x14ac:dyDescent="0.25">
      <c r="A111" s="8"/>
      <c r="B111" s="67"/>
      <c r="C111" s="67"/>
      <c r="D111" s="67"/>
      <c r="E111" s="67"/>
      <c r="F111" s="67"/>
    </row>
    <row r="112" spans="1:6" x14ac:dyDescent="0.25">
      <c r="A112" s="8"/>
      <c r="B112" s="67"/>
      <c r="C112" s="67"/>
      <c r="D112" s="67"/>
      <c r="E112" s="67"/>
      <c r="F112" s="67"/>
    </row>
    <row r="113" spans="1:24" x14ac:dyDescent="0.25">
      <c r="A113" s="8"/>
      <c r="B113" s="67"/>
      <c r="C113" s="67"/>
      <c r="D113" s="67"/>
      <c r="E113" s="67"/>
      <c r="F113" s="67"/>
    </row>
    <row r="114" spans="1:24" x14ac:dyDescent="0.25">
      <c r="A114" s="8"/>
      <c r="B114" s="67"/>
      <c r="C114" s="67"/>
      <c r="D114" s="67"/>
      <c r="E114" s="67"/>
      <c r="F114" s="67"/>
    </row>
    <row r="115" spans="1:24" x14ac:dyDescent="0.25">
      <c r="A115" s="8"/>
      <c r="B115" s="67"/>
      <c r="C115" s="67"/>
      <c r="D115" s="67"/>
      <c r="E115" s="67"/>
      <c r="F115" s="67"/>
    </row>
    <row r="116" spans="1:24" x14ac:dyDescent="0.25">
      <c r="A116" s="8"/>
      <c r="B116" s="67"/>
      <c r="C116" s="67"/>
      <c r="D116" s="67"/>
      <c r="E116" s="67"/>
      <c r="F116" s="67"/>
    </row>
    <row r="117" spans="1:24" x14ac:dyDescent="0.25">
      <c r="A117" s="8"/>
      <c r="B117" s="67"/>
      <c r="C117" s="67"/>
      <c r="D117" s="67"/>
      <c r="E117" s="67"/>
      <c r="F117" s="67"/>
    </row>
    <row r="118" spans="1:24" x14ac:dyDescent="0.25">
      <c r="A118" s="8"/>
      <c r="B118" s="67"/>
      <c r="C118" s="67"/>
      <c r="D118" s="67"/>
      <c r="E118" s="67"/>
      <c r="F118" s="67"/>
    </row>
    <row r="119" spans="1:24" x14ac:dyDescent="0.25">
      <c r="A119" s="8"/>
      <c r="B119" s="67"/>
      <c r="C119" s="67"/>
      <c r="D119" s="67"/>
      <c r="E119" s="67"/>
      <c r="F119" s="67"/>
    </row>
    <row r="120" spans="1:24" x14ac:dyDescent="0.25">
      <c r="A120" s="8"/>
      <c r="B120" s="67"/>
      <c r="C120" s="67"/>
      <c r="D120" s="67"/>
      <c r="E120" s="67"/>
      <c r="F120" s="67"/>
    </row>
    <row r="121" spans="1:24" x14ac:dyDescent="0.25">
      <c r="A121" s="8"/>
      <c r="B121" s="67"/>
      <c r="C121" s="67"/>
      <c r="D121" s="67"/>
      <c r="E121" s="67"/>
      <c r="F121" s="67"/>
    </row>
    <row r="122" spans="1:24" x14ac:dyDescent="0.25">
      <c r="A122" s="8"/>
      <c r="B122" s="67"/>
      <c r="C122" s="67"/>
      <c r="D122" s="67"/>
      <c r="E122" s="67"/>
      <c r="F122" s="67"/>
    </row>
    <row r="123" spans="1:24" x14ac:dyDescent="0.25">
      <c r="A123" s="8"/>
      <c r="B123" s="67"/>
      <c r="C123" s="67"/>
      <c r="D123" s="67"/>
      <c r="E123" s="67"/>
      <c r="F123" s="67"/>
    </row>
    <row r="124" spans="1:24" x14ac:dyDescent="0.25">
      <c r="A124" s="8"/>
      <c r="B124" s="67"/>
      <c r="C124" s="67"/>
      <c r="D124" s="67"/>
      <c r="E124" s="67"/>
      <c r="F124" s="67"/>
    </row>
    <row r="125" spans="1:24" x14ac:dyDescent="0.25">
      <c r="A125" s="8"/>
      <c r="B125" s="67"/>
      <c r="C125" s="67"/>
      <c r="D125" s="67"/>
      <c r="E125" s="67"/>
      <c r="F125" s="67"/>
    </row>
    <row r="126" spans="1:24" x14ac:dyDescent="0.25">
      <c r="A126" s="7"/>
      <c r="B126" s="11"/>
      <c r="C126" s="11"/>
      <c r="D126" s="11"/>
      <c r="E126" s="11"/>
      <c r="F126" s="11"/>
      <c r="G126" s="10"/>
      <c r="H126" s="10"/>
      <c r="I126" s="10"/>
      <c r="J126" s="7"/>
      <c r="K126" s="7"/>
      <c r="L126" s="7"/>
      <c r="M126" s="7"/>
      <c r="N126" s="7"/>
      <c r="O126" s="7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x14ac:dyDescent="0.25">
      <c r="A127" s="7"/>
      <c r="B127" s="11"/>
      <c r="C127" s="11"/>
      <c r="D127" s="11"/>
      <c r="E127" s="11"/>
      <c r="F127" s="11"/>
      <c r="G127" s="10"/>
      <c r="H127" s="10"/>
      <c r="I127" s="10"/>
      <c r="J127" s="7"/>
      <c r="K127" s="7"/>
      <c r="L127" s="7"/>
      <c r="M127" s="7"/>
      <c r="N127" s="7"/>
      <c r="O127" s="7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x14ac:dyDescent="0.25">
      <c r="A128" s="7"/>
      <c r="B128" s="11"/>
      <c r="C128" s="11"/>
      <c r="D128" s="11"/>
      <c r="E128" s="11"/>
      <c r="F128" s="11"/>
      <c r="G128" s="10"/>
      <c r="H128" s="10"/>
      <c r="I128" s="10"/>
      <c r="J128" s="7"/>
      <c r="K128" s="7"/>
      <c r="L128" s="7"/>
      <c r="M128" s="7"/>
      <c r="N128" s="7"/>
      <c r="O128" s="7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x14ac:dyDescent="0.25">
      <c r="A129" s="7"/>
      <c r="B129" s="11"/>
      <c r="C129" s="11"/>
      <c r="D129" s="11"/>
      <c r="E129" s="11"/>
      <c r="F129" s="11"/>
      <c r="G129" s="10"/>
      <c r="H129" s="10"/>
      <c r="I129" s="10"/>
      <c r="J129" s="7"/>
      <c r="K129" s="7"/>
      <c r="L129" s="7"/>
      <c r="M129" s="7"/>
      <c r="N129" s="7"/>
      <c r="O129" s="7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x14ac:dyDescent="0.25">
      <c r="A130" s="7"/>
      <c r="B130" s="11"/>
      <c r="C130" s="11"/>
      <c r="D130" s="11"/>
      <c r="E130" s="11"/>
      <c r="F130" s="11"/>
      <c r="G130" s="10"/>
      <c r="H130" s="10"/>
      <c r="I130" s="10"/>
      <c r="J130" s="7"/>
      <c r="K130" s="7"/>
      <c r="L130" s="7"/>
      <c r="M130" s="7"/>
      <c r="N130" s="7"/>
      <c r="O130" s="7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x14ac:dyDescent="0.25">
      <c r="A131" s="7"/>
      <c r="B131" s="11"/>
      <c r="C131" s="11"/>
      <c r="D131" s="11"/>
      <c r="E131" s="11"/>
      <c r="F131" s="11"/>
      <c r="G131" s="10"/>
      <c r="H131" s="10"/>
      <c r="I131" s="10"/>
      <c r="J131" s="7"/>
      <c r="K131" s="7"/>
      <c r="L131" s="7"/>
      <c r="M131" s="7"/>
      <c r="N131" s="7"/>
      <c r="O131" s="7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x14ac:dyDescent="0.25">
      <c r="A132" s="7"/>
      <c r="B132" s="11"/>
      <c r="C132" s="11"/>
      <c r="D132" s="11"/>
      <c r="E132" s="11"/>
      <c r="F132" s="11"/>
      <c r="G132" s="10"/>
      <c r="H132" s="10"/>
      <c r="I132" s="10"/>
      <c r="J132" s="7"/>
      <c r="K132" s="7"/>
      <c r="L132" s="7"/>
      <c r="M132" s="7"/>
      <c r="N132" s="7"/>
      <c r="O132" s="7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x14ac:dyDescent="0.25">
      <c r="A133" s="7"/>
      <c r="B133" s="11"/>
      <c r="C133" s="11"/>
      <c r="D133" s="11"/>
      <c r="E133" s="11"/>
      <c r="F133" s="11"/>
      <c r="G133" s="10"/>
      <c r="H133" s="10"/>
      <c r="I133" s="10"/>
      <c r="J133" s="7"/>
      <c r="K133" s="7"/>
      <c r="L133" s="7"/>
      <c r="M133" s="7"/>
      <c r="N133" s="7"/>
      <c r="O133" s="7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x14ac:dyDescent="0.25">
      <c r="A134" s="7"/>
      <c r="B134" s="11"/>
      <c r="C134" s="11"/>
      <c r="D134" s="11"/>
      <c r="E134" s="11"/>
      <c r="F134" s="11"/>
      <c r="G134" s="10"/>
      <c r="H134" s="10"/>
      <c r="I134" s="10"/>
      <c r="J134" s="7"/>
      <c r="K134" s="7"/>
      <c r="L134" s="7"/>
      <c r="M134" s="7"/>
      <c r="N134" s="7"/>
      <c r="O134" s="7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x14ac:dyDescent="0.25">
      <c r="A135" s="7"/>
      <c r="B135" s="11"/>
      <c r="C135" s="11"/>
      <c r="D135" s="11"/>
      <c r="E135" s="11"/>
      <c r="F135" s="11"/>
      <c r="G135" s="10"/>
      <c r="H135" s="10"/>
      <c r="I135" s="10"/>
      <c r="J135" s="7"/>
      <c r="K135" s="7"/>
      <c r="L135" s="7"/>
      <c r="M135" s="7"/>
      <c r="N135" s="7"/>
      <c r="O135" s="7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x14ac:dyDescent="0.25">
      <c r="A136" s="7"/>
      <c r="B136" s="11"/>
      <c r="C136" s="11"/>
      <c r="D136" s="11"/>
      <c r="E136" s="11"/>
      <c r="F136" s="11"/>
      <c r="G136" s="10"/>
      <c r="H136" s="10"/>
      <c r="I136" s="10"/>
      <c r="J136" s="7"/>
      <c r="K136" s="7"/>
      <c r="L136" s="7"/>
      <c r="M136" s="7"/>
      <c r="N136" s="7"/>
      <c r="O136" s="7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x14ac:dyDescent="0.25">
      <c r="A137" s="7"/>
      <c r="B137" s="11"/>
      <c r="C137" s="11"/>
      <c r="D137" s="11"/>
      <c r="E137" s="11"/>
      <c r="F137" s="11"/>
      <c r="G137" s="10"/>
      <c r="H137" s="10"/>
      <c r="I137" s="10"/>
      <c r="J137" s="7"/>
      <c r="K137" s="7"/>
      <c r="L137" s="7"/>
      <c r="M137" s="7"/>
      <c r="N137" s="7"/>
      <c r="O137" s="7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x14ac:dyDescent="0.25">
      <c r="A138" s="7"/>
      <c r="B138" s="11"/>
      <c r="C138" s="11"/>
      <c r="D138" s="11"/>
      <c r="E138" s="11"/>
      <c r="F138" s="11"/>
      <c r="G138" s="10"/>
      <c r="H138" s="10"/>
      <c r="I138" s="10"/>
      <c r="J138" s="7"/>
      <c r="K138" s="7"/>
      <c r="L138" s="7"/>
      <c r="M138" s="7"/>
      <c r="N138" s="7"/>
      <c r="O138" s="7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x14ac:dyDescent="0.25">
      <c r="A139" s="7"/>
      <c r="B139" s="11"/>
      <c r="C139" s="11"/>
      <c r="D139" s="11"/>
      <c r="E139" s="11"/>
      <c r="F139" s="11"/>
      <c r="G139" s="10"/>
      <c r="H139" s="10"/>
      <c r="I139" s="10"/>
      <c r="J139" s="7"/>
      <c r="K139" s="7"/>
      <c r="L139" s="7"/>
      <c r="M139" s="7"/>
      <c r="N139" s="7"/>
      <c r="O139" s="7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x14ac:dyDescent="0.25">
      <c r="A140" s="7"/>
      <c r="B140" s="11"/>
      <c r="C140" s="11"/>
      <c r="D140" s="11"/>
      <c r="E140" s="11"/>
      <c r="F140" s="11"/>
      <c r="G140" s="10"/>
      <c r="H140" s="10"/>
      <c r="I140" s="10"/>
      <c r="J140" s="7"/>
      <c r="K140" s="7"/>
      <c r="L140" s="7"/>
      <c r="M140" s="7"/>
      <c r="N140" s="7"/>
      <c r="O140" s="7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x14ac:dyDescent="0.25">
      <c r="A141" s="7"/>
      <c r="B141" s="11"/>
      <c r="C141" s="11"/>
      <c r="D141" s="11"/>
      <c r="E141" s="11"/>
      <c r="F141" s="11"/>
      <c r="G141" s="10"/>
      <c r="H141" s="10"/>
      <c r="I141" s="10"/>
      <c r="J141" s="7"/>
      <c r="K141" s="7"/>
      <c r="L141" s="7"/>
      <c r="M141" s="7"/>
      <c r="N141" s="7"/>
      <c r="O141" s="7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x14ac:dyDescent="0.25">
      <c r="A142" s="7"/>
      <c r="B142" s="11"/>
      <c r="C142" s="11"/>
      <c r="D142" s="11"/>
      <c r="E142" s="11"/>
      <c r="F142" s="11"/>
      <c r="G142" s="10"/>
      <c r="H142" s="10"/>
      <c r="I142" s="10"/>
      <c r="J142" s="7"/>
      <c r="K142" s="7"/>
      <c r="L142" s="7"/>
      <c r="M142" s="7"/>
      <c r="N142" s="7"/>
      <c r="O142" s="7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x14ac:dyDescent="0.25">
      <c r="A143" s="7"/>
      <c r="B143" s="11"/>
      <c r="C143" s="11"/>
      <c r="D143" s="11"/>
      <c r="E143" s="11"/>
      <c r="F143" s="11"/>
      <c r="G143" s="10"/>
      <c r="H143" s="10"/>
      <c r="I143" s="10"/>
      <c r="J143" s="7"/>
      <c r="K143" s="7"/>
      <c r="L143" s="7"/>
      <c r="M143" s="7"/>
      <c r="N143" s="7"/>
      <c r="O143" s="7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x14ac:dyDescent="0.25">
      <c r="A144" s="7"/>
      <c r="B144" s="11"/>
      <c r="C144" s="11"/>
      <c r="D144" s="11"/>
      <c r="E144" s="11"/>
      <c r="F144" s="11"/>
      <c r="G144" s="10"/>
      <c r="H144" s="10"/>
      <c r="I144" s="10"/>
      <c r="J144" s="7"/>
      <c r="K144" s="7"/>
      <c r="L144" s="7"/>
      <c r="M144" s="7"/>
      <c r="N144" s="7"/>
      <c r="O144" s="7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x14ac:dyDescent="0.25">
      <c r="A145" s="7"/>
      <c r="B145" s="11"/>
      <c r="C145" s="11"/>
      <c r="D145" s="11"/>
      <c r="E145" s="11"/>
      <c r="F145" s="11"/>
      <c r="G145" s="10"/>
      <c r="H145" s="10"/>
      <c r="I145" s="10"/>
      <c r="J145" s="7"/>
      <c r="K145" s="7"/>
      <c r="L145" s="7"/>
      <c r="M145" s="7"/>
      <c r="N145" s="7"/>
      <c r="O145" s="7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x14ac:dyDescent="0.25">
      <c r="A146" s="7"/>
      <c r="B146" s="11"/>
      <c r="C146" s="11"/>
      <c r="D146" s="11"/>
      <c r="E146" s="11"/>
      <c r="F146" s="11"/>
      <c r="G146" s="10"/>
      <c r="H146" s="10"/>
      <c r="I146" s="10"/>
      <c r="J146" s="7"/>
      <c r="K146" s="7"/>
      <c r="L146" s="7"/>
      <c r="M146" s="7"/>
      <c r="N146" s="7"/>
      <c r="O146" s="7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x14ac:dyDescent="0.25">
      <c r="A147" s="7"/>
      <c r="B147" s="11"/>
      <c r="C147" s="11"/>
      <c r="D147" s="11"/>
      <c r="E147" s="11"/>
      <c r="F147" s="11"/>
      <c r="G147" s="10"/>
      <c r="H147" s="10"/>
      <c r="I147" s="10"/>
      <c r="J147" s="7"/>
      <c r="K147" s="7"/>
      <c r="L147" s="7"/>
      <c r="M147" s="7"/>
      <c r="N147" s="7"/>
      <c r="O147" s="7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x14ac:dyDescent="0.25">
      <c r="A148" s="7"/>
      <c r="B148" s="11"/>
      <c r="C148" s="11"/>
      <c r="D148" s="11"/>
      <c r="E148" s="11"/>
      <c r="F148" s="11"/>
      <c r="G148" s="10"/>
      <c r="H148" s="10"/>
      <c r="I148" s="10"/>
      <c r="J148" s="7"/>
      <c r="K148" s="7"/>
      <c r="L148" s="7"/>
      <c r="M148" s="7"/>
      <c r="N148" s="7"/>
      <c r="O148" s="7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x14ac:dyDescent="0.25">
      <c r="A149" s="7"/>
      <c r="B149" s="11"/>
      <c r="C149" s="11"/>
      <c r="D149" s="11"/>
      <c r="E149" s="11"/>
      <c r="F149" s="11"/>
      <c r="G149" s="10"/>
      <c r="H149" s="10"/>
      <c r="I149" s="10"/>
      <c r="J149" s="7"/>
      <c r="K149" s="7"/>
      <c r="L149" s="7"/>
      <c r="M149" s="7"/>
      <c r="N149" s="7"/>
      <c r="O149" s="7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x14ac:dyDescent="0.25">
      <c r="A150" s="7"/>
      <c r="B150" s="11"/>
      <c r="C150" s="11"/>
      <c r="D150" s="11"/>
      <c r="E150" s="11"/>
      <c r="F150" s="11"/>
      <c r="G150" s="10"/>
      <c r="H150" s="10"/>
      <c r="I150" s="10"/>
      <c r="J150" s="7"/>
      <c r="K150" s="7"/>
      <c r="L150" s="7"/>
      <c r="M150" s="7"/>
      <c r="N150" s="7"/>
      <c r="O150" s="7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x14ac:dyDescent="0.25">
      <c r="A151" s="7"/>
      <c r="B151" s="11"/>
      <c r="C151" s="11"/>
      <c r="D151" s="11"/>
      <c r="E151" s="11"/>
      <c r="F151" s="11"/>
      <c r="G151" s="10"/>
      <c r="H151" s="10"/>
      <c r="I151" s="10"/>
      <c r="J151" s="7"/>
      <c r="K151" s="7"/>
      <c r="L151" s="7"/>
      <c r="M151" s="7"/>
      <c r="N151" s="7"/>
      <c r="O151" s="7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x14ac:dyDescent="0.25">
      <c r="A152" s="7"/>
      <c r="B152" s="11"/>
      <c r="C152" s="11"/>
      <c r="D152" s="11"/>
      <c r="E152" s="11"/>
      <c r="F152" s="11"/>
      <c r="G152" s="10"/>
      <c r="H152" s="10"/>
      <c r="I152" s="10"/>
      <c r="J152" s="7"/>
      <c r="K152" s="7"/>
      <c r="L152" s="7"/>
      <c r="M152" s="7"/>
      <c r="N152" s="7"/>
      <c r="O152" s="7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x14ac:dyDescent="0.25">
      <c r="A153" s="7"/>
      <c r="B153" s="11"/>
      <c r="C153" s="11"/>
      <c r="D153" s="11"/>
      <c r="E153" s="11"/>
      <c r="F153" s="11"/>
      <c r="G153" s="10"/>
      <c r="H153" s="10"/>
      <c r="I153" s="10"/>
      <c r="J153" s="7"/>
      <c r="K153" s="7"/>
      <c r="L153" s="7"/>
      <c r="M153" s="7"/>
      <c r="N153" s="7"/>
      <c r="O153" s="7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x14ac:dyDescent="0.25">
      <c r="A154" s="7"/>
      <c r="B154" s="11"/>
      <c r="C154" s="11"/>
      <c r="D154" s="11"/>
      <c r="E154" s="11"/>
      <c r="F154" s="11"/>
      <c r="G154" s="10"/>
      <c r="H154" s="10"/>
      <c r="I154" s="10"/>
      <c r="J154" s="7"/>
      <c r="K154" s="7"/>
      <c r="L154" s="7"/>
      <c r="M154" s="7"/>
      <c r="N154" s="7"/>
      <c r="O154" s="7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x14ac:dyDescent="0.25">
      <c r="A155" s="7"/>
      <c r="B155" s="11"/>
      <c r="C155" s="11"/>
      <c r="D155" s="11"/>
      <c r="E155" s="11"/>
      <c r="F155" s="11"/>
      <c r="G155" s="10"/>
      <c r="H155" s="10"/>
      <c r="I155" s="10"/>
      <c r="J155" s="7"/>
      <c r="K155" s="7"/>
      <c r="L155" s="7"/>
      <c r="M155" s="7"/>
      <c r="N155" s="7"/>
      <c r="O155" s="7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x14ac:dyDescent="0.25">
      <c r="A156" s="7"/>
      <c r="B156" s="11"/>
      <c r="C156" s="11"/>
      <c r="D156" s="11"/>
      <c r="E156" s="11"/>
      <c r="F156" s="11"/>
      <c r="G156" s="10"/>
      <c r="H156" s="10"/>
      <c r="I156" s="10"/>
      <c r="J156" s="7"/>
      <c r="K156" s="7"/>
      <c r="L156" s="7"/>
      <c r="M156" s="7"/>
      <c r="N156" s="7"/>
      <c r="O156" s="7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x14ac:dyDescent="0.25">
      <c r="A157" s="7"/>
      <c r="B157" s="11"/>
      <c r="C157" s="11"/>
      <c r="D157" s="11"/>
      <c r="E157" s="11"/>
      <c r="F157" s="11"/>
      <c r="G157" s="10"/>
      <c r="H157" s="10"/>
      <c r="I157" s="10"/>
      <c r="J157" s="7"/>
      <c r="K157" s="7"/>
      <c r="L157" s="7"/>
      <c r="M157" s="7"/>
      <c r="N157" s="7"/>
      <c r="O157" s="7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x14ac:dyDescent="0.25">
      <c r="A158" s="7"/>
      <c r="B158" s="11"/>
      <c r="C158" s="11"/>
      <c r="D158" s="11"/>
      <c r="E158" s="11"/>
      <c r="F158" s="11"/>
      <c r="G158" s="10"/>
      <c r="H158" s="10"/>
      <c r="I158" s="10"/>
      <c r="J158" s="7"/>
      <c r="K158" s="7"/>
      <c r="L158" s="7"/>
      <c r="M158" s="7"/>
      <c r="N158" s="7"/>
      <c r="O158" s="7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x14ac:dyDescent="0.25">
      <c r="A159" s="7"/>
      <c r="B159" s="11"/>
      <c r="C159" s="11"/>
      <c r="D159" s="11"/>
      <c r="E159" s="11"/>
      <c r="F159" s="11"/>
      <c r="G159" s="10"/>
      <c r="H159" s="10"/>
      <c r="I159" s="10"/>
      <c r="J159" s="7"/>
      <c r="K159" s="7"/>
      <c r="L159" s="7"/>
      <c r="M159" s="7"/>
      <c r="N159" s="7"/>
      <c r="O159" s="7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x14ac:dyDescent="0.25">
      <c r="A160" s="7"/>
      <c r="B160" s="11"/>
      <c r="C160" s="11"/>
      <c r="D160" s="11"/>
      <c r="E160" s="11"/>
      <c r="F160" s="11"/>
      <c r="G160" s="10"/>
      <c r="H160" s="10"/>
      <c r="I160" s="10"/>
      <c r="J160" s="7"/>
      <c r="K160" s="7"/>
      <c r="L160" s="7"/>
      <c r="M160" s="7"/>
      <c r="N160" s="7"/>
      <c r="O160" s="7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x14ac:dyDescent="0.25">
      <c r="A161" s="7"/>
      <c r="B161" s="11"/>
      <c r="C161" s="11"/>
      <c r="D161" s="11"/>
      <c r="E161" s="11"/>
      <c r="F161" s="11"/>
      <c r="G161" s="10"/>
      <c r="H161" s="10"/>
      <c r="I161" s="10"/>
      <c r="J161" s="7"/>
      <c r="K161" s="7"/>
      <c r="L161" s="7"/>
      <c r="M161" s="7"/>
      <c r="N161" s="7"/>
      <c r="O161" s="7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x14ac:dyDescent="0.25">
      <c r="A162" s="7"/>
      <c r="B162" s="11"/>
      <c r="C162" s="11"/>
      <c r="D162" s="11"/>
      <c r="E162" s="11"/>
      <c r="F162" s="11"/>
      <c r="G162" s="10"/>
      <c r="H162" s="10"/>
      <c r="I162" s="10"/>
      <c r="J162" s="7"/>
      <c r="K162" s="7"/>
      <c r="L162" s="7"/>
      <c r="M162" s="7"/>
      <c r="N162" s="7"/>
      <c r="O162" s="7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x14ac:dyDescent="0.25">
      <c r="A163" s="7"/>
      <c r="B163" s="11"/>
      <c r="C163" s="11"/>
      <c r="D163" s="11"/>
      <c r="E163" s="11"/>
      <c r="F163" s="11"/>
      <c r="G163" s="10"/>
      <c r="H163" s="10"/>
      <c r="I163" s="10"/>
      <c r="J163" s="7"/>
      <c r="K163" s="7"/>
      <c r="L163" s="7"/>
      <c r="M163" s="7"/>
      <c r="N163" s="7"/>
      <c r="O163" s="7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x14ac:dyDescent="0.25">
      <c r="A164" s="7"/>
      <c r="B164" s="11"/>
      <c r="C164" s="11"/>
      <c r="D164" s="11"/>
      <c r="E164" s="11"/>
      <c r="F164" s="11"/>
      <c r="G164" s="10"/>
      <c r="H164" s="10"/>
      <c r="I164" s="10"/>
      <c r="J164" s="7"/>
      <c r="K164" s="7"/>
      <c r="L164" s="7"/>
      <c r="M164" s="7"/>
      <c r="N164" s="7"/>
      <c r="O164" s="7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x14ac:dyDescent="0.25">
      <c r="A165" s="7"/>
      <c r="B165" s="11"/>
      <c r="C165" s="11"/>
      <c r="D165" s="11"/>
      <c r="E165" s="11"/>
      <c r="F165" s="11"/>
      <c r="G165" s="10"/>
      <c r="H165" s="10"/>
      <c r="I165" s="10"/>
      <c r="J165" s="7"/>
      <c r="K165" s="7"/>
      <c r="L165" s="7"/>
      <c r="M165" s="7"/>
      <c r="N165" s="7"/>
      <c r="O165" s="7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x14ac:dyDescent="0.25">
      <c r="A166" s="7"/>
      <c r="B166" s="11"/>
      <c r="C166" s="11"/>
      <c r="D166" s="11"/>
      <c r="E166" s="11"/>
      <c r="F166" s="11"/>
      <c r="G166" s="10"/>
      <c r="H166" s="10"/>
      <c r="I166" s="10"/>
      <c r="J166" s="7"/>
      <c r="K166" s="7"/>
      <c r="L166" s="7"/>
      <c r="M166" s="7"/>
      <c r="N166" s="7"/>
      <c r="O166" s="7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x14ac:dyDescent="0.25">
      <c r="A167" s="7"/>
      <c r="B167" s="11"/>
      <c r="C167" s="11"/>
      <c r="D167" s="11"/>
      <c r="E167" s="11"/>
      <c r="F167" s="11"/>
      <c r="G167" s="10"/>
      <c r="H167" s="10"/>
      <c r="I167" s="10"/>
      <c r="J167" s="7"/>
      <c r="K167" s="7"/>
      <c r="L167" s="7"/>
      <c r="M167" s="7"/>
      <c r="N167" s="7"/>
      <c r="O167" s="7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x14ac:dyDescent="0.25">
      <c r="A168" s="7"/>
      <c r="B168" s="11"/>
      <c r="C168" s="11"/>
      <c r="D168" s="11"/>
      <c r="E168" s="11"/>
      <c r="F168" s="11"/>
      <c r="G168" s="10"/>
      <c r="H168" s="10"/>
      <c r="I168" s="10"/>
      <c r="J168" s="7"/>
      <c r="K168" s="7"/>
      <c r="L168" s="7"/>
      <c r="M168" s="7"/>
      <c r="N168" s="7"/>
      <c r="O168" s="7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x14ac:dyDescent="0.25">
      <c r="A169" s="7"/>
      <c r="B169" s="11"/>
      <c r="C169" s="11"/>
      <c r="D169" s="11"/>
      <c r="E169" s="11"/>
      <c r="F169" s="11"/>
      <c r="G169" s="10"/>
      <c r="H169" s="10"/>
      <c r="I169" s="10"/>
      <c r="J169" s="7"/>
      <c r="K169" s="7"/>
      <c r="L169" s="7"/>
      <c r="M169" s="7"/>
      <c r="N169" s="7"/>
      <c r="O169" s="7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x14ac:dyDescent="0.25">
      <c r="A170" s="7"/>
      <c r="B170" s="11"/>
      <c r="C170" s="11"/>
      <c r="D170" s="11"/>
      <c r="E170" s="11"/>
      <c r="F170" s="11"/>
      <c r="G170" s="10"/>
      <c r="H170" s="10"/>
      <c r="I170" s="10"/>
      <c r="J170" s="7"/>
      <c r="K170" s="7"/>
      <c r="L170" s="7"/>
      <c r="M170" s="7"/>
      <c r="N170" s="7"/>
      <c r="O170" s="7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x14ac:dyDescent="0.25">
      <c r="A171" s="7"/>
      <c r="B171" s="11"/>
      <c r="C171" s="11"/>
      <c r="D171" s="11"/>
      <c r="E171" s="11"/>
      <c r="F171" s="11"/>
      <c r="G171" s="10"/>
      <c r="H171" s="10"/>
      <c r="I171" s="10"/>
      <c r="J171" s="7"/>
      <c r="K171" s="7"/>
      <c r="L171" s="7"/>
      <c r="M171" s="7"/>
      <c r="N171" s="7"/>
      <c r="O171" s="7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x14ac:dyDescent="0.25">
      <c r="A172" s="7"/>
      <c r="B172" s="11"/>
      <c r="C172" s="11"/>
      <c r="D172" s="11"/>
      <c r="E172" s="11"/>
      <c r="F172" s="11"/>
      <c r="G172" s="10"/>
      <c r="H172" s="10"/>
      <c r="I172" s="10"/>
      <c r="J172" s="7"/>
      <c r="K172" s="7"/>
      <c r="L172" s="7"/>
      <c r="M172" s="7"/>
      <c r="N172" s="7"/>
      <c r="O172" s="7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x14ac:dyDescent="0.25">
      <c r="A173" s="7"/>
      <c r="B173" s="11"/>
      <c r="C173" s="11"/>
      <c r="D173" s="11"/>
      <c r="E173" s="11"/>
      <c r="F173" s="11"/>
      <c r="G173" s="10"/>
      <c r="H173" s="10"/>
      <c r="I173" s="10"/>
      <c r="J173" s="7"/>
      <c r="K173" s="7"/>
      <c r="L173" s="7"/>
      <c r="M173" s="7"/>
      <c r="N173" s="7"/>
      <c r="O173" s="7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x14ac:dyDescent="0.25">
      <c r="A174" s="7"/>
      <c r="B174" s="11"/>
      <c r="C174" s="11"/>
      <c r="D174" s="11"/>
      <c r="E174" s="11"/>
      <c r="F174" s="11"/>
      <c r="G174" s="10"/>
      <c r="H174" s="10"/>
      <c r="I174" s="10"/>
      <c r="J174" s="7"/>
      <c r="K174" s="7"/>
      <c r="L174" s="7"/>
      <c r="M174" s="7"/>
      <c r="N174" s="7"/>
      <c r="O174" s="7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x14ac:dyDescent="0.25">
      <c r="A175" s="7"/>
      <c r="B175" s="11"/>
      <c r="C175" s="11"/>
      <c r="D175" s="11"/>
      <c r="E175" s="11"/>
      <c r="F175" s="11"/>
      <c r="G175" s="10"/>
      <c r="H175" s="10"/>
      <c r="I175" s="10"/>
      <c r="J175" s="7"/>
      <c r="K175" s="7"/>
      <c r="L175" s="7"/>
      <c r="M175" s="7"/>
      <c r="N175" s="7"/>
      <c r="O175" s="7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x14ac:dyDescent="0.25">
      <c r="A176" s="7"/>
      <c r="B176" s="11"/>
      <c r="C176" s="11"/>
      <c r="D176" s="11"/>
      <c r="E176" s="11"/>
      <c r="F176" s="11"/>
      <c r="G176" s="10"/>
      <c r="H176" s="10"/>
      <c r="I176" s="10"/>
      <c r="J176" s="7"/>
      <c r="K176" s="7"/>
      <c r="L176" s="7"/>
      <c r="M176" s="7"/>
      <c r="N176" s="7"/>
      <c r="O176" s="7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x14ac:dyDescent="0.25">
      <c r="A177" s="7"/>
      <c r="B177" s="11"/>
      <c r="C177" s="11"/>
      <c r="D177" s="11"/>
      <c r="E177" s="11"/>
      <c r="F177" s="11"/>
      <c r="G177" s="10"/>
      <c r="H177" s="10"/>
      <c r="I177" s="10"/>
      <c r="J177" s="7"/>
      <c r="K177" s="7"/>
      <c r="L177" s="7"/>
      <c r="M177" s="7"/>
      <c r="N177" s="7"/>
      <c r="O177" s="7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x14ac:dyDescent="0.25">
      <c r="A178" s="7"/>
      <c r="B178" s="11"/>
      <c r="C178" s="11"/>
      <c r="D178" s="11"/>
      <c r="E178" s="11"/>
      <c r="F178" s="11"/>
      <c r="G178" s="10"/>
      <c r="H178" s="10"/>
      <c r="I178" s="10"/>
      <c r="J178" s="7"/>
      <c r="K178" s="7"/>
      <c r="L178" s="7"/>
      <c r="M178" s="7"/>
      <c r="N178" s="7"/>
      <c r="O178" s="7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x14ac:dyDescent="0.25">
      <c r="A179" s="7"/>
      <c r="B179" s="11"/>
      <c r="C179" s="11"/>
      <c r="D179" s="11"/>
      <c r="E179" s="11"/>
      <c r="F179" s="11"/>
      <c r="G179" s="10"/>
      <c r="H179" s="10"/>
      <c r="I179" s="10"/>
      <c r="J179" s="7"/>
      <c r="K179" s="7"/>
      <c r="L179" s="7"/>
      <c r="M179" s="7"/>
      <c r="N179" s="7"/>
      <c r="O179" s="7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x14ac:dyDescent="0.25">
      <c r="A180" s="7"/>
      <c r="B180" s="11"/>
      <c r="C180" s="11"/>
      <c r="D180" s="11"/>
      <c r="E180" s="11"/>
      <c r="F180" s="11"/>
      <c r="G180" s="10"/>
      <c r="H180" s="10"/>
      <c r="I180" s="10"/>
      <c r="J180" s="7"/>
      <c r="K180" s="7"/>
      <c r="L180" s="7"/>
      <c r="M180" s="7"/>
      <c r="N180" s="7"/>
      <c r="O180" s="7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x14ac:dyDescent="0.25">
      <c r="A181" s="7"/>
      <c r="B181" s="11"/>
      <c r="C181" s="11"/>
      <c r="D181" s="11"/>
      <c r="E181" s="11"/>
      <c r="F181" s="11"/>
      <c r="G181" s="10"/>
      <c r="H181" s="10"/>
      <c r="I181" s="10"/>
      <c r="J181" s="7"/>
      <c r="K181" s="7"/>
      <c r="L181" s="7"/>
      <c r="M181" s="7"/>
      <c r="N181" s="7"/>
      <c r="O181" s="7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x14ac:dyDescent="0.25">
      <c r="A182" s="7"/>
      <c r="B182" s="11"/>
      <c r="C182" s="11"/>
      <c r="D182" s="11"/>
      <c r="E182" s="11"/>
      <c r="F182" s="11"/>
      <c r="G182" s="10"/>
      <c r="H182" s="10"/>
      <c r="I182" s="10"/>
      <c r="J182" s="7"/>
      <c r="K182" s="7"/>
      <c r="L182" s="7"/>
      <c r="M182" s="7"/>
      <c r="N182" s="7"/>
      <c r="O182" s="7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x14ac:dyDescent="0.25">
      <c r="A183" s="7"/>
      <c r="B183" s="11"/>
      <c r="C183" s="11"/>
      <c r="D183" s="11"/>
      <c r="E183" s="11"/>
      <c r="F183" s="11"/>
      <c r="G183" s="10"/>
      <c r="H183" s="10"/>
      <c r="I183" s="10"/>
      <c r="J183" s="7"/>
      <c r="K183" s="7"/>
      <c r="L183" s="7"/>
      <c r="M183" s="7"/>
      <c r="N183" s="7"/>
      <c r="O183" s="7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x14ac:dyDescent="0.25">
      <c r="A184" s="7"/>
      <c r="B184" s="11"/>
      <c r="C184" s="11"/>
      <c r="D184" s="11"/>
      <c r="E184" s="11"/>
      <c r="F184" s="11"/>
      <c r="G184" s="10"/>
      <c r="H184" s="10"/>
      <c r="I184" s="10"/>
      <c r="J184" s="7"/>
      <c r="K184" s="7"/>
      <c r="L184" s="7"/>
      <c r="M184" s="7"/>
      <c r="N184" s="7"/>
      <c r="O184" s="7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x14ac:dyDescent="0.25">
      <c r="A185" s="7"/>
      <c r="B185" s="11"/>
      <c r="C185" s="11"/>
      <c r="D185" s="11"/>
      <c r="E185" s="11"/>
      <c r="F185" s="11"/>
      <c r="G185" s="10"/>
      <c r="H185" s="10"/>
      <c r="I185" s="10"/>
      <c r="J185" s="7"/>
      <c r="K185" s="7"/>
      <c r="L185" s="7"/>
      <c r="M185" s="7"/>
      <c r="N185" s="7"/>
      <c r="O185" s="7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x14ac:dyDescent="0.25">
      <c r="A186" s="7"/>
      <c r="B186" s="11"/>
      <c r="C186" s="11"/>
      <c r="D186" s="11"/>
      <c r="E186" s="11"/>
      <c r="F186" s="11"/>
      <c r="G186" s="10"/>
      <c r="H186" s="10"/>
      <c r="I186" s="10"/>
      <c r="J186" s="7"/>
      <c r="K186" s="7"/>
      <c r="L186" s="7"/>
      <c r="M186" s="7"/>
      <c r="N186" s="7"/>
      <c r="O186" s="7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x14ac:dyDescent="0.25">
      <c r="A187" s="7"/>
      <c r="B187" s="11"/>
      <c r="C187" s="11"/>
      <c r="D187" s="11"/>
      <c r="E187" s="11"/>
      <c r="F187" s="11"/>
      <c r="G187" s="10"/>
      <c r="H187" s="10"/>
      <c r="I187" s="10"/>
      <c r="J187" s="7"/>
      <c r="K187" s="7"/>
      <c r="L187" s="7"/>
      <c r="M187" s="7"/>
      <c r="N187" s="7"/>
      <c r="O187" s="7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x14ac:dyDescent="0.25">
      <c r="A188" s="7"/>
      <c r="B188" s="11"/>
      <c r="C188" s="11"/>
      <c r="D188" s="11"/>
      <c r="E188" s="11"/>
      <c r="F188" s="11"/>
      <c r="G188" s="10"/>
      <c r="H188" s="10"/>
      <c r="I188" s="10"/>
      <c r="J188" s="7"/>
      <c r="K188" s="7"/>
      <c r="L188" s="7"/>
      <c r="M188" s="7"/>
      <c r="N188" s="7"/>
      <c r="O188" s="7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x14ac:dyDescent="0.25">
      <c r="A189" s="7"/>
      <c r="B189" s="11"/>
      <c r="C189" s="11"/>
      <c r="D189" s="11"/>
      <c r="E189" s="11"/>
      <c r="F189" s="11"/>
      <c r="G189" s="10"/>
      <c r="H189" s="10"/>
      <c r="I189" s="10"/>
      <c r="J189" s="7"/>
      <c r="K189" s="7"/>
      <c r="L189" s="7"/>
      <c r="M189" s="7"/>
      <c r="N189" s="7"/>
      <c r="O189" s="7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x14ac:dyDescent="0.25">
      <c r="A190" s="7"/>
      <c r="B190" s="11"/>
      <c r="C190" s="11"/>
      <c r="D190" s="11"/>
      <c r="E190" s="11"/>
      <c r="F190" s="11"/>
      <c r="G190" s="10"/>
      <c r="H190" s="10"/>
      <c r="I190" s="10"/>
      <c r="J190" s="7"/>
      <c r="K190" s="7"/>
      <c r="L190" s="7"/>
      <c r="M190" s="7"/>
      <c r="N190" s="7"/>
      <c r="O190" s="7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x14ac:dyDescent="0.25">
      <c r="A191" s="7"/>
      <c r="B191" s="11"/>
      <c r="C191" s="11"/>
      <c r="D191" s="11"/>
      <c r="E191" s="11"/>
      <c r="F191" s="11"/>
      <c r="G191" s="10"/>
      <c r="H191" s="10"/>
      <c r="I191" s="10"/>
      <c r="J191" s="7"/>
      <c r="K191" s="7"/>
      <c r="L191" s="7"/>
      <c r="M191" s="7"/>
      <c r="N191" s="7"/>
      <c r="O191" s="7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x14ac:dyDescent="0.25">
      <c r="A192" s="7"/>
      <c r="B192" s="11"/>
      <c r="C192" s="11"/>
      <c r="D192" s="11"/>
      <c r="E192" s="11"/>
      <c r="F192" s="11"/>
      <c r="G192" s="10"/>
      <c r="H192" s="10"/>
      <c r="I192" s="10"/>
      <c r="J192" s="7"/>
      <c r="K192" s="7"/>
      <c r="L192" s="7"/>
      <c r="M192" s="7"/>
      <c r="N192" s="7"/>
      <c r="O192" s="7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x14ac:dyDescent="0.25">
      <c r="A193" s="7"/>
      <c r="B193" s="11"/>
      <c r="C193" s="11"/>
      <c r="D193" s="11"/>
      <c r="E193" s="11"/>
      <c r="F193" s="11"/>
      <c r="G193" s="10"/>
      <c r="H193" s="10"/>
      <c r="I193" s="10"/>
      <c r="J193" s="7"/>
      <c r="K193" s="7"/>
      <c r="L193" s="7"/>
      <c r="M193" s="7"/>
      <c r="N193" s="7"/>
      <c r="O193" s="7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x14ac:dyDescent="0.25">
      <c r="A194" s="7"/>
      <c r="B194" s="11"/>
      <c r="C194" s="11"/>
      <c r="D194" s="11"/>
      <c r="E194" s="11"/>
      <c r="F194" s="11"/>
      <c r="G194" s="10"/>
      <c r="H194" s="10"/>
      <c r="I194" s="10"/>
      <c r="J194" s="7"/>
      <c r="K194" s="7"/>
      <c r="L194" s="7"/>
      <c r="M194" s="7"/>
      <c r="N194" s="7"/>
      <c r="O194" s="7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x14ac:dyDescent="0.25">
      <c r="A195" s="7"/>
      <c r="B195" s="11"/>
      <c r="C195" s="11"/>
      <c r="D195" s="11"/>
      <c r="E195" s="11"/>
      <c r="F195" s="11"/>
      <c r="G195" s="10"/>
      <c r="H195" s="10"/>
      <c r="I195" s="10"/>
      <c r="J195" s="7"/>
      <c r="K195" s="7"/>
      <c r="L195" s="7"/>
      <c r="M195" s="7"/>
      <c r="N195" s="7"/>
      <c r="O195" s="7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x14ac:dyDescent="0.25">
      <c r="A196" s="7"/>
      <c r="B196" s="11"/>
      <c r="C196" s="11"/>
      <c r="D196" s="11"/>
      <c r="E196" s="11"/>
      <c r="F196" s="11"/>
      <c r="G196" s="10"/>
      <c r="H196" s="10"/>
      <c r="I196" s="10"/>
      <c r="J196" s="7"/>
      <c r="K196" s="7"/>
      <c r="L196" s="7"/>
      <c r="M196" s="7"/>
      <c r="N196" s="7"/>
      <c r="O196" s="7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x14ac:dyDescent="0.25">
      <c r="A197" s="7"/>
      <c r="B197" s="11"/>
      <c r="C197" s="11"/>
      <c r="D197" s="11"/>
      <c r="E197" s="11"/>
      <c r="F197" s="11"/>
      <c r="G197" s="10"/>
      <c r="H197" s="10"/>
      <c r="I197" s="10"/>
      <c r="J197" s="7"/>
      <c r="K197" s="7"/>
      <c r="L197" s="7"/>
      <c r="M197" s="7"/>
      <c r="N197" s="7"/>
      <c r="O197" s="7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x14ac:dyDescent="0.25">
      <c r="A198" s="7"/>
      <c r="B198" s="11"/>
      <c r="C198" s="11"/>
      <c r="D198" s="11"/>
      <c r="E198" s="11"/>
      <c r="F198" s="11"/>
      <c r="G198" s="10"/>
      <c r="H198" s="10"/>
      <c r="I198" s="10"/>
      <c r="J198" s="7"/>
      <c r="K198" s="7"/>
      <c r="L198" s="7"/>
      <c r="M198" s="7"/>
      <c r="N198" s="7"/>
      <c r="O198" s="7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x14ac:dyDescent="0.25">
      <c r="A199" s="7"/>
      <c r="B199" s="11"/>
      <c r="C199" s="11"/>
      <c r="D199" s="11"/>
      <c r="E199" s="11"/>
      <c r="F199" s="11"/>
      <c r="G199" s="10"/>
      <c r="H199" s="10"/>
      <c r="I199" s="10"/>
      <c r="J199" s="7"/>
      <c r="K199" s="7"/>
      <c r="L199" s="7"/>
      <c r="M199" s="7"/>
      <c r="N199" s="7"/>
      <c r="O199" s="7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x14ac:dyDescent="0.25">
      <c r="A200" s="7"/>
      <c r="B200" s="11"/>
      <c r="C200" s="11"/>
      <c r="D200" s="11"/>
      <c r="E200" s="11"/>
      <c r="F200" s="11"/>
      <c r="G200" s="10"/>
      <c r="H200" s="10"/>
      <c r="I200" s="10"/>
      <c r="J200" s="7"/>
      <c r="K200" s="7"/>
      <c r="L200" s="7"/>
      <c r="M200" s="7"/>
      <c r="N200" s="7"/>
      <c r="O200" s="7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x14ac:dyDescent="0.25">
      <c r="A201" s="7"/>
      <c r="B201" s="11"/>
      <c r="C201" s="11"/>
      <c r="D201" s="11"/>
      <c r="E201" s="11"/>
      <c r="F201" s="11"/>
      <c r="G201" s="10"/>
      <c r="H201" s="10"/>
      <c r="I201" s="10"/>
      <c r="J201" s="7"/>
      <c r="K201" s="7"/>
      <c r="L201" s="7"/>
      <c r="M201" s="7"/>
      <c r="N201" s="7"/>
      <c r="O201" s="7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x14ac:dyDescent="0.25">
      <c r="A202" s="7"/>
      <c r="B202" s="11"/>
      <c r="C202" s="11"/>
      <c r="D202" s="11"/>
      <c r="E202" s="11"/>
      <c r="F202" s="11"/>
      <c r="G202" s="10"/>
      <c r="H202" s="10"/>
      <c r="I202" s="10"/>
      <c r="J202" s="7"/>
      <c r="K202" s="7"/>
      <c r="L202" s="7"/>
      <c r="M202" s="7"/>
      <c r="N202" s="7"/>
      <c r="O202" s="7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x14ac:dyDescent="0.25">
      <c r="A203" s="7"/>
      <c r="B203" s="11"/>
      <c r="C203" s="11"/>
      <c r="D203" s="11"/>
      <c r="E203" s="11"/>
      <c r="F203" s="11"/>
      <c r="G203" s="10"/>
      <c r="H203" s="10"/>
      <c r="I203" s="10"/>
      <c r="J203" s="7"/>
      <c r="K203" s="7"/>
      <c r="L203" s="7"/>
      <c r="M203" s="7"/>
      <c r="N203" s="7"/>
      <c r="O203" s="7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x14ac:dyDescent="0.25">
      <c r="A204" s="7"/>
      <c r="B204" s="11"/>
      <c r="C204" s="11"/>
      <c r="D204" s="11"/>
      <c r="E204" s="11"/>
      <c r="F204" s="11"/>
      <c r="G204" s="10"/>
      <c r="H204" s="10"/>
      <c r="I204" s="10"/>
      <c r="J204" s="7"/>
      <c r="K204" s="7"/>
      <c r="L204" s="7"/>
      <c r="M204" s="7"/>
      <c r="N204" s="7"/>
      <c r="O204" s="7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x14ac:dyDescent="0.25">
      <c r="A205" s="7"/>
      <c r="B205" s="11"/>
      <c r="C205" s="11"/>
      <c r="D205" s="11"/>
      <c r="E205" s="11"/>
      <c r="F205" s="11"/>
      <c r="G205" s="10"/>
      <c r="H205" s="10"/>
      <c r="I205" s="10"/>
      <c r="J205" s="7"/>
      <c r="K205" s="7"/>
      <c r="L205" s="7"/>
      <c r="M205" s="7"/>
      <c r="N205" s="7"/>
      <c r="O205" s="7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x14ac:dyDescent="0.25">
      <c r="A206" s="7"/>
      <c r="B206" s="11"/>
      <c r="C206" s="11"/>
      <c r="D206" s="11"/>
      <c r="E206" s="11"/>
      <c r="F206" s="11"/>
      <c r="G206" s="10"/>
      <c r="H206" s="10"/>
      <c r="I206" s="10"/>
      <c r="J206" s="7"/>
      <c r="K206" s="7"/>
      <c r="L206" s="7"/>
      <c r="M206" s="7"/>
      <c r="N206" s="7"/>
      <c r="O206" s="7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x14ac:dyDescent="0.25">
      <c r="A207" s="7"/>
      <c r="B207" s="11"/>
      <c r="C207" s="11"/>
      <c r="D207" s="11"/>
      <c r="E207" s="11"/>
      <c r="F207" s="11"/>
      <c r="G207" s="10"/>
      <c r="H207" s="10"/>
      <c r="I207" s="10"/>
      <c r="J207" s="7"/>
      <c r="K207" s="7"/>
      <c r="L207" s="7"/>
      <c r="M207" s="7"/>
      <c r="N207" s="7"/>
      <c r="O207" s="7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x14ac:dyDescent="0.25">
      <c r="A208" s="7"/>
      <c r="B208" s="11"/>
      <c r="C208" s="11"/>
      <c r="D208" s="11"/>
      <c r="E208" s="11"/>
      <c r="F208" s="11"/>
      <c r="G208" s="10"/>
      <c r="H208" s="10"/>
      <c r="I208" s="10"/>
      <c r="J208" s="7"/>
      <c r="K208" s="7"/>
      <c r="L208" s="7"/>
      <c r="M208" s="7"/>
      <c r="N208" s="7"/>
      <c r="O208" s="7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x14ac:dyDescent="0.25">
      <c r="A209" s="7"/>
      <c r="B209" s="11"/>
      <c r="C209" s="11"/>
      <c r="D209" s="11"/>
      <c r="E209" s="11"/>
      <c r="F209" s="11"/>
      <c r="G209" s="10"/>
      <c r="H209" s="10"/>
      <c r="I209" s="10"/>
      <c r="J209" s="7"/>
      <c r="K209" s="7"/>
      <c r="L209" s="7"/>
      <c r="M209" s="7"/>
      <c r="N209" s="7"/>
      <c r="O209" s="7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x14ac:dyDescent="0.25">
      <c r="A210" s="7"/>
      <c r="B210" s="11"/>
      <c r="C210" s="11"/>
      <c r="D210" s="11"/>
      <c r="E210" s="11"/>
      <c r="F210" s="11"/>
      <c r="G210" s="10"/>
      <c r="H210" s="10"/>
      <c r="I210" s="10"/>
      <c r="J210" s="7"/>
      <c r="K210" s="7"/>
      <c r="L210" s="7"/>
      <c r="M210" s="7"/>
      <c r="N210" s="7"/>
      <c r="O210" s="7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x14ac:dyDescent="0.25">
      <c r="A211" s="7"/>
      <c r="B211" s="11"/>
      <c r="C211" s="11"/>
      <c r="D211" s="11"/>
      <c r="E211" s="11"/>
      <c r="F211" s="11"/>
      <c r="G211" s="10"/>
      <c r="H211" s="10"/>
      <c r="I211" s="10"/>
      <c r="J211" s="7"/>
      <c r="K211" s="7"/>
      <c r="L211" s="7"/>
      <c r="M211" s="7"/>
      <c r="N211" s="7"/>
      <c r="O211" s="7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x14ac:dyDescent="0.25">
      <c r="A212" s="7"/>
      <c r="B212" s="11"/>
      <c r="C212" s="11"/>
      <c r="D212" s="11"/>
      <c r="E212" s="11"/>
      <c r="F212" s="11"/>
      <c r="G212" s="10"/>
      <c r="H212" s="10"/>
      <c r="I212" s="10"/>
      <c r="J212" s="7"/>
      <c r="K212" s="7"/>
      <c r="L212" s="7"/>
      <c r="M212" s="7"/>
      <c r="N212" s="7"/>
      <c r="O212" s="7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x14ac:dyDescent="0.25">
      <c r="A213" s="7"/>
      <c r="B213" s="11"/>
      <c r="C213" s="11"/>
      <c r="D213" s="11"/>
      <c r="E213" s="11"/>
      <c r="F213" s="11"/>
      <c r="G213" s="10"/>
      <c r="H213" s="10"/>
      <c r="I213" s="10"/>
      <c r="J213" s="7"/>
      <c r="K213" s="7"/>
      <c r="L213" s="7"/>
      <c r="M213" s="7"/>
      <c r="N213" s="7"/>
      <c r="O213" s="7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x14ac:dyDescent="0.25">
      <c r="A214" s="7"/>
      <c r="B214" s="11"/>
      <c r="C214" s="11"/>
      <c r="D214" s="11"/>
      <c r="E214" s="11"/>
      <c r="F214" s="11"/>
      <c r="G214" s="10"/>
      <c r="H214" s="10"/>
      <c r="I214" s="10"/>
      <c r="J214" s="7"/>
      <c r="K214" s="7"/>
      <c r="L214" s="7"/>
      <c r="M214" s="7"/>
      <c r="N214" s="7"/>
      <c r="O214" s="7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x14ac:dyDescent="0.25">
      <c r="A215" s="7"/>
      <c r="B215" s="11"/>
      <c r="C215" s="11"/>
      <c r="D215" s="11"/>
      <c r="E215" s="11"/>
      <c r="F215" s="11"/>
      <c r="G215" s="10"/>
      <c r="H215" s="10"/>
      <c r="I215" s="10"/>
      <c r="J215" s="7"/>
      <c r="K215" s="7"/>
      <c r="L215" s="7"/>
      <c r="M215" s="7"/>
      <c r="N215" s="7"/>
      <c r="O215" s="7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x14ac:dyDescent="0.25">
      <c r="A216" s="7"/>
      <c r="B216" s="11"/>
      <c r="C216" s="11"/>
      <c r="D216" s="11"/>
      <c r="E216" s="11"/>
      <c r="F216" s="11"/>
      <c r="G216" s="10"/>
      <c r="H216" s="10"/>
      <c r="I216" s="10"/>
      <c r="J216" s="7"/>
      <c r="K216" s="7"/>
      <c r="L216" s="7"/>
      <c r="M216" s="7"/>
      <c r="N216" s="7"/>
      <c r="O216" s="7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x14ac:dyDescent="0.25">
      <c r="A217" s="7"/>
      <c r="B217" s="11"/>
      <c r="C217" s="11"/>
      <c r="D217" s="11"/>
      <c r="E217" s="11"/>
      <c r="F217" s="11"/>
      <c r="G217" s="10"/>
      <c r="H217" s="10"/>
      <c r="I217" s="10"/>
      <c r="J217" s="7"/>
      <c r="K217" s="7"/>
      <c r="L217" s="7"/>
      <c r="M217" s="7"/>
      <c r="N217" s="7"/>
      <c r="O217" s="7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x14ac:dyDescent="0.25">
      <c r="A218" s="7"/>
      <c r="B218" s="11"/>
      <c r="C218" s="11"/>
      <c r="D218" s="11"/>
      <c r="E218" s="11"/>
      <c r="F218" s="11"/>
      <c r="G218" s="10"/>
      <c r="H218" s="10"/>
      <c r="I218" s="10"/>
      <c r="J218" s="7"/>
      <c r="K218" s="7"/>
      <c r="L218" s="7"/>
      <c r="M218" s="7"/>
      <c r="N218" s="7"/>
      <c r="O218" s="7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x14ac:dyDescent="0.25">
      <c r="A219" s="7"/>
      <c r="B219" s="11"/>
      <c r="C219" s="11"/>
      <c r="D219" s="11"/>
      <c r="E219" s="11"/>
      <c r="F219" s="11"/>
      <c r="G219" s="10"/>
      <c r="H219" s="10"/>
      <c r="I219" s="10"/>
      <c r="J219" s="7"/>
      <c r="K219" s="7"/>
      <c r="L219" s="7"/>
      <c r="M219" s="7"/>
      <c r="N219" s="7"/>
      <c r="O219" s="7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x14ac:dyDescent="0.25">
      <c r="A220" s="7"/>
      <c r="B220" s="11"/>
      <c r="C220" s="11"/>
      <c r="D220" s="11"/>
      <c r="E220" s="11"/>
      <c r="F220" s="11"/>
      <c r="G220" s="10"/>
      <c r="H220" s="10"/>
      <c r="I220" s="10"/>
      <c r="J220" s="7"/>
      <c r="K220" s="7"/>
      <c r="L220" s="7"/>
      <c r="M220" s="7"/>
      <c r="N220" s="7"/>
      <c r="O220" s="7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x14ac:dyDescent="0.25">
      <c r="A221" s="7"/>
      <c r="B221" s="11"/>
      <c r="C221" s="11"/>
      <c r="D221" s="11"/>
      <c r="E221" s="11"/>
      <c r="F221" s="11"/>
      <c r="G221" s="10"/>
      <c r="H221" s="10"/>
      <c r="I221" s="10"/>
      <c r="J221" s="7"/>
      <c r="K221" s="7"/>
      <c r="L221" s="7"/>
      <c r="M221" s="7"/>
      <c r="N221" s="7"/>
      <c r="O221" s="7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x14ac:dyDescent="0.25">
      <c r="A222" s="7"/>
      <c r="B222" s="11"/>
      <c r="C222" s="11"/>
      <c r="D222" s="11"/>
      <c r="E222" s="11"/>
      <c r="F222" s="11"/>
      <c r="G222" s="10"/>
      <c r="H222" s="10"/>
      <c r="I222" s="10"/>
      <c r="J222" s="7"/>
      <c r="K222" s="7"/>
      <c r="L222" s="7"/>
      <c r="M222" s="7"/>
      <c r="N222" s="7"/>
      <c r="O222" s="7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x14ac:dyDescent="0.25">
      <c r="A223" s="7"/>
      <c r="B223" s="11"/>
      <c r="C223" s="11"/>
      <c r="D223" s="11"/>
      <c r="E223" s="11"/>
      <c r="F223" s="11"/>
      <c r="G223" s="10"/>
      <c r="H223" s="10"/>
      <c r="I223" s="10"/>
      <c r="J223" s="7"/>
      <c r="K223" s="7"/>
      <c r="L223" s="7"/>
      <c r="M223" s="7"/>
      <c r="N223" s="7"/>
      <c r="O223" s="7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x14ac:dyDescent="0.25">
      <c r="A224" s="7"/>
      <c r="B224" s="11"/>
      <c r="C224" s="11"/>
      <c r="D224" s="11"/>
      <c r="E224" s="11"/>
      <c r="F224" s="11"/>
      <c r="G224" s="10"/>
      <c r="H224" s="10"/>
      <c r="I224" s="10"/>
      <c r="J224" s="7"/>
      <c r="K224" s="7"/>
      <c r="L224" s="7"/>
      <c r="M224" s="7"/>
      <c r="N224" s="7"/>
      <c r="O224" s="7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x14ac:dyDescent="0.25">
      <c r="A225" s="7"/>
      <c r="B225" s="11"/>
      <c r="C225" s="11"/>
      <c r="D225" s="11"/>
      <c r="E225" s="11"/>
      <c r="F225" s="11"/>
      <c r="G225" s="10"/>
      <c r="H225" s="10"/>
      <c r="I225" s="10"/>
      <c r="J225" s="7"/>
      <c r="K225" s="7"/>
      <c r="L225" s="7"/>
      <c r="M225" s="7"/>
      <c r="N225" s="7"/>
      <c r="O225" s="7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x14ac:dyDescent="0.25">
      <c r="A226" s="7"/>
      <c r="B226" s="11"/>
      <c r="C226" s="11"/>
      <c r="D226" s="11"/>
      <c r="E226" s="11"/>
      <c r="F226" s="11"/>
      <c r="G226" s="10"/>
      <c r="H226" s="10"/>
      <c r="I226" s="10"/>
      <c r="J226" s="7"/>
      <c r="K226" s="7"/>
      <c r="L226" s="7"/>
      <c r="M226" s="7"/>
      <c r="N226" s="7"/>
      <c r="O226" s="7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x14ac:dyDescent="0.25">
      <c r="A227" s="7"/>
      <c r="B227" s="11"/>
      <c r="C227" s="11"/>
      <c r="D227" s="11"/>
      <c r="E227" s="11"/>
      <c r="F227" s="11"/>
      <c r="G227" s="10"/>
      <c r="H227" s="10"/>
      <c r="I227" s="10"/>
      <c r="J227" s="7"/>
      <c r="K227" s="7"/>
      <c r="L227" s="7"/>
      <c r="M227" s="7"/>
      <c r="N227" s="7"/>
      <c r="O227" s="7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x14ac:dyDescent="0.25">
      <c r="A228" s="7"/>
      <c r="B228" s="11"/>
      <c r="C228" s="11"/>
      <c r="D228" s="11"/>
      <c r="E228" s="11"/>
      <c r="F228" s="11"/>
      <c r="G228" s="10"/>
      <c r="H228" s="10"/>
      <c r="I228" s="10"/>
      <c r="J228" s="7"/>
      <c r="K228" s="7"/>
      <c r="L228" s="7"/>
      <c r="M228" s="7"/>
      <c r="N228" s="7"/>
      <c r="O228" s="7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x14ac:dyDescent="0.25">
      <c r="A229" s="7"/>
      <c r="B229" s="11"/>
      <c r="C229" s="11"/>
      <c r="D229" s="11"/>
      <c r="E229" s="11"/>
      <c r="F229" s="11"/>
      <c r="G229" s="10"/>
      <c r="H229" s="10"/>
      <c r="I229" s="10"/>
      <c r="J229" s="7"/>
      <c r="K229" s="7"/>
      <c r="L229" s="7"/>
      <c r="M229" s="7"/>
      <c r="N229" s="7"/>
      <c r="O229" s="7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x14ac:dyDescent="0.25">
      <c r="A230" s="7"/>
      <c r="B230" s="11"/>
      <c r="C230" s="11"/>
      <c r="D230" s="11"/>
      <c r="E230" s="11"/>
      <c r="F230" s="11"/>
      <c r="G230" s="10"/>
      <c r="H230" s="10"/>
      <c r="I230" s="10"/>
      <c r="J230" s="7"/>
      <c r="K230" s="7"/>
      <c r="L230" s="7"/>
      <c r="M230" s="7"/>
      <c r="N230" s="7"/>
      <c r="O230" s="7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x14ac:dyDescent="0.25">
      <c r="A231" s="7"/>
      <c r="B231" s="11"/>
      <c r="C231" s="11"/>
      <c r="D231" s="11"/>
      <c r="E231" s="11"/>
      <c r="F231" s="11"/>
      <c r="G231" s="10"/>
      <c r="H231" s="10"/>
      <c r="I231" s="10"/>
      <c r="J231" s="7"/>
      <c r="K231" s="7"/>
      <c r="L231" s="7"/>
      <c r="M231" s="7"/>
      <c r="N231" s="7"/>
      <c r="O231" s="7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x14ac:dyDescent="0.25">
      <c r="A232" s="7"/>
      <c r="B232" s="11"/>
      <c r="C232" s="11"/>
      <c r="D232" s="11"/>
      <c r="E232" s="11"/>
      <c r="F232" s="11"/>
      <c r="G232" s="10"/>
      <c r="H232" s="10"/>
      <c r="I232" s="10"/>
      <c r="J232" s="7"/>
      <c r="K232" s="7"/>
      <c r="L232" s="7"/>
      <c r="M232" s="7"/>
      <c r="N232" s="7"/>
      <c r="O232" s="7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x14ac:dyDescent="0.25">
      <c r="A233" s="7"/>
      <c r="B233" s="11"/>
      <c r="C233" s="11"/>
      <c r="D233" s="11"/>
      <c r="E233" s="11"/>
      <c r="F233" s="11"/>
      <c r="G233" s="10"/>
      <c r="H233" s="10"/>
      <c r="I233" s="10"/>
      <c r="J233" s="7"/>
      <c r="K233" s="7"/>
      <c r="L233" s="7"/>
      <c r="M233" s="7"/>
      <c r="N233" s="7"/>
      <c r="O233" s="7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x14ac:dyDescent="0.25">
      <c r="A234" s="7"/>
      <c r="B234" s="11"/>
      <c r="C234" s="11"/>
      <c r="D234" s="11"/>
      <c r="E234" s="11"/>
      <c r="F234" s="11"/>
      <c r="G234" s="10"/>
      <c r="H234" s="10"/>
      <c r="I234" s="10"/>
      <c r="J234" s="7"/>
      <c r="K234" s="7"/>
      <c r="L234" s="7"/>
      <c r="M234" s="7"/>
      <c r="N234" s="7"/>
      <c r="O234" s="7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x14ac:dyDescent="0.25">
      <c r="A235" s="7"/>
      <c r="B235" s="11"/>
      <c r="C235" s="11"/>
      <c r="D235" s="11"/>
      <c r="E235" s="11"/>
      <c r="F235" s="11"/>
      <c r="G235" s="10"/>
      <c r="H235" s="10"/>
      <c r="I235" s="10"/>
      <c r="J235" s="7"/>
      <c r="K235" s="7"/>
      <c r="L235" s="7"/>
      <c r="M235" s="7"/>
      <c r="N235" s="7"/>
      <c r="O235" s="7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x14ac:dyDescent="0.25">
      <c r="A236" s="7"/>
      <c r="B236" s="11"/>
      <c r="C236" s="11"/>
      <c r="D236" s="11"/>
      <c r="E236" s="11"/>
      <c r="F236" s="11"/>
      <c r="G236" s="10"/>
      <c r="H236" s="10"/>
      <c r="I236" s="10"/>
      <c r="J236" s="7"/>
      <c r="K236" s="7"/>
      <c r="L236" s="7"/>
      <c r="M236" s="7"/>
      <c r="N236" s="7"/>
      <c r="O236" s="7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x14ac:dyDescent="0.25">
      <c r="A237" s="7"/>
      <c r="B237" s="11"/>
      <c r="C237" s="11"/>
      <c r="D237" s="11"/>
      <c r="E237" s="11"/>
      <c r="F237" s="11"/>
      <c r="G237" s="10"/>
      <c r="H237" s="10"/>
      <c r="I237" s="10"/>
      <c r="J237" s="7"/>
      <c r="K237" s="7"/>
      <c r="L237" s="7"/>
      <c r="M237" s="7"/>
      <c r="N237" s="7"/>
      <c r="O237" s="7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x14ac:dyDescent="0.25">
      <c r="A238" s="7"/>
      <c r="B238" s="11"/>
      <c r="C238" s="11"/>
      <c r="D238" s="11"/>
      <c r="E238" s="11"/>
      <c r="F238" s="11"/>
      <c r="G238" s="10"/>
      <c r="H238" s="10"/>
      <c r="I238" s="10"/>
      <c r="J238" s="7"/>
      <c r="K238" s="7"/>
      <c r="L238" s="7"/>
      <c r="M238" s="7"/>
      <c r="N238" s="7"/>
      <c r="O238" s="7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x14ac:dyDescent="0.25">
      <c r="A239" s="7"/>
      <c r="B239" s="11"/>
      <c r="C239" s="11"/>
      <c r="D239" s="11"/>
      <c r="E239" s="11"/>
      <c r="F239" s="11"/>
      <c r="G239" s="10"/>
      <c r="H239" s="10"/>
      <c r="I239" s="10"/>
      <c r="J239" s="7"/>
      <c r="K239" s="7"/>
      <c r="L239" s="7"/>
      <c r="M239" s="7"/>
      <c r="N239" s="7"/>
      <c r="O239" s="7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x14ac:dyDescent="0.25">
      <c r="A240" s="7"/>
      <c r="B240" s="11"/>
      <c r="C240" s="11"/>
      <c r="D240" s="11"/>
      <c r="E240" s="11"/>
      <c r="F240" s="11"/>
      <c r="G240" s="10"/>
      <c r="H240" s="10"/>
      <c r="I240" s="10"/>
      <c r="J240" s="7"/>
      <c r="K240" s="7"/>
      <c r="L240" s="7"/>
      <c r="M240" s="7"/>
      <c r="N240" s="7"/>
      <c r="O240" s="7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x14ac:dyDescent="0.25">
      <c r="A241" s="7"/>
      <c r="B241" s="11"/>
      <c r="C241" s="11"/>
      <c r="D241" s="11"/>
      <c r="E241" s="11"/>
      <c r="F241" s="11"/>
      <c r="G241" s="10"/>
      <c r="H241" s="10"/>
      <c r="I241" s="10"/>
      <c r="J241" s="7"/>
      <c r="K241" s="7"/>
      <c r="L241" s="7"/>
      <c r="M241" s="7"/>
      <c r="N241" s="7"/>
      <c r="O241" s="7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x14ac:dyDescent="0.25">
      <c r="A242" s="7"/>
      <c r="B242" s="11"/>
      <c r="C242" s="11"/>
      <c r="D242" s="11"/>
      <c r="E242" s="11"/>
      <c r="F242" s="11"/>
      <c r="G242" s="10"/>
      <c r="H242" s="10"/>
      <c r="I242" s="10"/>
      <c r="J242" s="7"/>
      <c r="K242" s="7"/>
      <c r="L242" s="7"/>
      <c r="M242" s="7"/>
      <c r="N242" s="7"/>
      <c r="O242" s="7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x14ac:dyDescent="0.25">
      <c r="A243" s="7"/>
      <c r="B243" s="11"/>
      <c r="C243" s="11"/>
      <c r="D243" s="11"/>
      <c r="E243" s="11"/>
      <c r="F243" s="11"/>
      <c r="G243" s="10"/>
      <c r="H243" s="10"/>
      <c r="I243" s="10"/>
      <c r="J243" s="7"/>
      <c r="K243" s="7"/>
      <c r="L243" s="7"/>
      <c r="M243" s="7"/>
      <c r="N243" s="7"/>
      <c r="O243" s="7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x14ac:dyDescent="0.25">
      <c r="A244" s="7"/>
      <c r="B244" s="11"/>
      <c r="C244" s="11"/>
      <c r="D244" s="11"/>
      <c r="E244" s="11"/>
      <c r="F244" s="11"/>
      <c r="G244" s="10"/>
      <c r="H244" s="10"/>
      <c r="I244" s="10"/>
      <c r="J244" s="7"/>
      <c r="K244" s="7"/>
      <c r="L244" s="7"/>
      <c r="M244" s="7"/>
      <c r="N244" s="7"/>
      <c r="O244" s="7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x14ac:dyDescent="0.25">
      <c r="A245" s="7"/>
      <c r="B245" s="11"/>
      <c r="C245" s="11"/>
      <c r="D245" s="11"/>
      <c r="E245" s="11"/>
      <c r="F245" s="11"/>
      <c r="G245" s="10"/>
      <c r="H245" s="10"/>
      <c r="I245" s="10"/>
      <c r="J245" s="7"/>
      <c r="K245" s="7"/>
      <c r="L245" s="7"/>
      <c r="M245" s="7"/>
      <c r="N245" s="7"/>
      <c r="O245" s="7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x14ac:dyDescent="0.25">
      <c r="A246" s="7"/>
      <c r="B246" s="11"/>
      <c r="C246" s="11"/>
      <c r="D246" s="11"/>
      <c r="E246" s="11"/>
      <c r="F246" s="11"/>
      <c r="G246" s="10"/>
      <c r="H246" s="10"/>
      <c r="I246" s="10"/>
      <c r="J246" s="7"/>
      <c r="K246" s="7"/>
      <c r="L246" s="7"/>
      <c r="M246" s="7"/>
      <c r="N246" s="7"/>
      <c r="O246" s="7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x14ac:dyDescent="0.25">
      <c r="A247" s="7"/>
      <c r="B247" s="11"/>
      <c r="C247" s="11"/>
      <c r="D247" s="11"/>
      <c r="E247" s="11"/>
      <c r="F247" s="11"/>
      <c r="G247" s="10"/>
      <c r="H247" s="10"/>
      <c r="I247" s="10"/>
      <c r="J247" s="7"/>
      <c r="K247" s="7"/>
      <c r="L247" s="7"/>
      <c r="M247" s="7"/>
      <c r="N247" s="7"/>
      <c r="O247" s="7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x14ac:dyDescent="0.25">
      <c r="A248" s="7"/>
      <c r="B248" s="11"/>
      <c r="C248" s="11"/>
      <c r="D248" s="11"/>
      <c r="E248" s="11"/>
      <c r="F248" s="11"/>
      <c r="G248" s="10"/>
      <c r="H248" s="10"/>
      <c r="I248" s="10"/>
      <c r="J248" s="7"/>
      <c r="K248" s="7"/>
      <c r="L248" s="7"/>
      <c r="M248" s="7"/>
      <c r="N248" s="7"/>
      <c r="O248" s="7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x14ac:dyDescent="0.25">
      <c r="A249" s="7"/>
      <c r="B249" s="11"/>
      <c r="C249" s="11"/>
      <c r="D249" s="11"/>
      <c r="E249" s="11"/>
      <c r="F249" s="11"/>
      <c r="G249" s="10"/>
      <c r="H249" s="10"/>
      <c r="I249" s="10"/>
      <c r="J249" s="7"/>
      <c r="K249" s="7"/>
      <c r="L249" s="7"/>
      <c r="M249" s="7"/>
      <c r="N249" s="7"/>
      <c r="O249" s="7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x14ac:dyDescent="0.25">
      <c r="A250" s="7"/>
      <c r="B250" s="11"/>
      <c r="C250" s="11"/>
      <c r="D250" s="11"/>
      <c r="E250" s="11"/>
      <c r="F250" s="11"/>
      <c r="G250" s="10"/>
      <c r="H250" s="10"/>
      <c r="I250" s="10"/>
      <c r="J250" s="7"/>
      <c r="K250" s="7"/>
      <c r="L250" s="7"/>
      <c r="M250" s="7"/>
      <c r="N250" s="7"/>
      <c r="O250" s="7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x14ac:dyDescent="0.25">
      <c r="A251" s="7"/>
      <c r="B251" s="11"/>
      <c r="C251" s="11"/>
      <c r="D251" s="11"/>
      <c r="E251" s="11"/>
      <c r="F251" s="11"/>
      <c r="G251" s="10"/>
      <c r="H251" s="10"/>
      <c r="I251" s="10"/>
      <c r="J251" s="7"/>
      <c r="K251" s="7"/>
      <c r="L251" s="7"/>
      <c r="M251" s="7"/>
      <c r="N251" s="7"/>
      <c r="O251" s="7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x14ac:dyDescent="0.25">
      <c r="A252" s="7"/>
      <c r="B252" s="11"/>
      <c r="C252" s="11"/>
      <c r="D252" s="11"/>
      <c r="E252" s="11"/>
      <c r="F252" s="11"/>
      <c r="G252" s="10"/>
      <c r="H252" s="10"/>
      <c r="I252" s="10"/>
      <c r="J252" s="7"/>
      <c r="K252" s="7"/>
      <c r="L252" s="7"/>
      <c r="M252" s="7"/>
      <c r="N252" s="7"/>
      <c r="O252" s="7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x14ac:dyDescent="0.25">
      <c r="A253" s="7"/>
      <c r="B253" s="11"/>
      <c r="C253" s="11"/>
      <c r="D253" s="11"/>
      <c r="E253" s="11"/>
      <c r="F253" s="11"/>
      <c r="G253" s="10"/>
      <c r="H253" s="10"/>
      <c r="I253" s="10"/>
      <c r="J253" s="7"/>
      <c r="K253" s="7"/>
      <c r="L253" s="7"/>
      <c r="M253" s="7"/>
      <c r="N253" s="7"/>
      <c r="O253" s="7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x14ac:dyDescent="0.25">
      <c r="A254" s="7"/>
      <c r="B254" s="11"/>
      <c r="C254" s="11"/>
      <c r="D254" s="11"/>
      <c r="E254" s="11"/>
      <c r="F254" s="11"/>
      <c r="G254" s="10"/>
      <c r="H254" s="10"/>
      <c r="I254" s="10"/>
      <c r="J254" s="7"/>
      <c r="K254" s="7"/>
      <c r="L254" s="7"/>
      <c r="M254" s="7"/>
      <c r="N254" s="7"/>
      <c r="O254" s="7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x14ac:dyDescent="0.25">
      <c r="A255" s="7"/>
      <c r="B255" s="11"/>
      <c r="C255" s="11"/>
      <c r="D255" s="11"/>
      <c r="E255" s="11"/>
      <c r="F255" s="11"/>
      <c r="G255" s="10"/>
      <c r="H255" s="10"/>
      <c r="I255" s="10"/>
      <c r="J255" s="7"/>
      <c r="K255" s="7"/>
      <c r="L255" s="7"/>
      <c r="M255" s="7"/>
      <c r="N255" s="7"/>
      <c r="O255" s="7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x14ac:dyDescent="0.25">
      <c r="A256" s="7"/>
      <c r="B256" s="11"/>
      <c r="C256" s="11"/>
      <c r="D256" s="11"/>
      <c r="E256" s="11"/>
      <c r="F256" s="11"/>
      <c r="G256" s="10"/>
      <c r="H256" s="10"/>
      <c r="I256" s="10"/>
      <c r="J256" s="7"/>
      <c r="K256" s="7"/>
      <c r="L256" s="7"/>
      <c r="M256" s="7"/>
      <c r="N256" s="7"/>
      <c r="O256" s="7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x14ac:dyDescent="0.25">
      <c r="A257" s="7"/>
      <c r="B257" s="11"/>
      <c r="C257" s="11"/>
      <c r="D257" s="11"/>
      <c r="E257" s="11"/>
      <c r="F257" s="11"/>
      <c r="G257" s="10"/>
      <c r="H257" s="10"/>
      <c r="I257" s="10"/>
      <c r="J257" s="7"/>
      <c r="K257" s="7"/>
      <c r="L257" s="7"/>
      <c r="M257" s="7"/>
      <c r="N257" s="7"/>
      <c r="O257" s="7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x14ac:dyDescent="0.25">
      <c r="A258" s="7"/>
      <c r="B258" s="11"/>
      <c r="C258" s="11"/>
      <c r="D258" s="11"/>
      <c r="E258" s="11"/>
      <c r="F258" s="11"/>
      <c r="G258" s="10"/>
      <c r="H258" s="10"/>
      <c r="I258" s="10"/>
      <c r="J258" s="7"/>
      <c r="K258" s="7"/>
      <c r="L258" s="7"/>
      <c r="M258" s="7"/>
      <c r="N258" s="7"/>
      <c r="O258" s="7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x14ac:dyDescent="0.25">
      <c r="A259" s="7"/>
      <c r="B259" s="11"/>
      <c r="C259" s="11"/>
      <c r="D259" s="11"/>
      <c r="E259" s="11"/>
      <c r="F259" s="11"/>
      <c r="G259" s="10"/>
      <c r="H259" s="10"/>
      <c r="I259" s="10"/>
      <c r="J259" s="7"/>
      <c r="K259" s="7"/>
      <c r="L259" s="7"/>
      <c r="M259" s="7"/>
      <c r="N259" s="7"/>
      <c r="O259" s="7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x14ac:dyDescent="0.25">
      <c r="A260" s="7"/>
      <c r="B260" s="11"/>
      <c r="C260" s="11"/>
      <c r="D260" s="11"/>
      <c r="E260" s="11"/>
      <c r="F260" s="11"/>
      <c r="G260" s="10"/>
      <c r="H260" s="10"/>
      <c r="I260" s="10"/>
      <c r="J260" s="7"/>
      <c r="K260" s="7"/>
      <c r="L260" s="7"/>
      <c r="M260" s="7"/>
      <c r="N260" s="7"/>
      <c r="O260" s="7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x14ac:dyDescent="0.25">
      <c r="A261" s="7"/>
      <c r="B261" s="11"/>
      <c r="C261" s="11"/>
      <c r="D261" s="11"/>
      <c r="E261" s="11"/>
      <c r="F261" s="11"/>
      <c r="G261" s="10"/>
      <c r="H261" s="10"/>
      <c r="I261" s="10"/>
      <c r="J261" s="7"/>
      <c r="K261" s="7"/>
      <c r="L261" s="7"/>
      <c r="M261" s="7"/>
      <c r="N261" s="7"/>
      <c r="O261" s="7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x14ac:dyDescent="0.25">
      <c r="A262" s="7"/>
      <c r="B262" s="11"/>
      <c r="C262" s="11"/>
      <c r="D262" s="11"/>
      <c r="E262" s="11"/>
      <c r="F262" s="11"/>
      <c r="G262" s="10"/>
      <c r="H262" s="10"/>
      <c r="I262" s="10"/>
      <c r="J262" s="7"/>
      <c r="K262" s="7"/>
      <c r="L262" s="7"/>
      <c r="M262" s="7"/>
      <c r="N262" s="7"/>
      <c r="O262" s="7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x14ac:dyDescent="0.25">
      <c r="A263" s="7"/>
      <c r="B263" s="11"/>
      <c r="C263" s="11"/>
      <c r="D263" s="11"/>
      <c r="E263" s="11"/>
      <c r="F263" s="11"/>
      <c r="G263" s="10"/>
      <c r="H263" s="10"/>
      <c r="I263" s="10"/>
      <c r="J263" s="7"/>
      <c r="K263" s="7"/>
      <c r="L263" s="7"/>
      <c r="M263" s="7"/>
      <c r="N263" s="7"/>
      <c r="O263" s="7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x14ac:dyDescent="0.25">
      <c r="A264" s="7"/>
      <c r="B264" s="11"/>
      <c r="C264" s="11"/>
      <c r="D264" s="11"/>
      <c r="E264" s="11"/>
      <c r="F264" s="11"/>
      <c r="G264" s="10"/>
      <c r="H264" s="10"/>
      <c r="I264" s="10"/>
      <c r="J264" s="7"/>
      <c r="K264" s="7"/>
      <c r="L264" s="7"/>
      <c r="M264" s="7"/>
      <c r="N264" s="7"/>
      <c r="O264" s="7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x14ac:dyDescent="0.25">
      <c r="A265" s="7"/>
      <c r="B265" s="11"/>
      <c r="C265" s="11"/>
      <c r="D265" s="11"/>
      <c r="E265" s="11"/>
      <c r="F265" s="11"/>
      <c r="G265" s="10"/>
      <c r="H265" s="10"/>
      <c r="I265" s="10"/>
      <c r="J265" s="7"/>
      <c r="K265" s="7"/>
      <c r="L265" s="7"/>
      <c r="M265" s="7"/>
      <c r="N265" s="7"/>
      <c r="O265" s="7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x14ac:dyDescent="0.25">
      <c r="A266" s="7"/>
      <c r="B266" s="11"/>
      <c r="C266" s="11"/>
      <c r="D266" s="11"/>
      <c r="E266" s="11"/>
      <c r="F266" s="11"/>
      <c r="G266" s="10"/>
      <c r="H266" s="10"/>
      <c r="I266" s="10"/>
      <c r="J266" s="7"/>
      <c r="K266" s="7"/>
      <c r="L266" s="7"/>
      <c r="M266" s="7"/>
      <c r="N266" s="7"/>
      <c r="O266" s="7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x14ac:dyDescent="0.25">
      <c r="A267" s="7"/>
      <c r="B267" s="11"/>
      <c r="C267" s="11"/>
      <c r="D267" s="11"/>
      <c r="E267" s="11"/>
      <c r="F267" s="11"/>
      <c r="G267" s="10"/>
      <c r="H267" s="10"/>
      <c r="I267" s="10"/>
      <c r="J267" s="7"/>
      <c r="K267" s="7"/>
      <c r="L267" s="7"/>
      <c r="M267" s="7"/>
      <c r="N267" s="7"/>
      <c r="O267" s="7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x14ac:dyDescent="0.25">
      <c r="A268" s="7"/>
      <c r="B268" s="11"/>
      <c r="C268" s="11"/>
      <c r="D268" s="11"/>
      <c r="E268" s="11"/>
      <c r="F268" s="11"/>
      <c r="G268" s="10"/>
      <c r="H268" s="10"/>
      <c r="I268" s="10"/>
      <c r="J268" s="7"/>
      <c r="K268" s="7"/>
      <c r="L268" s="7"/>
      <c r="M268" s="7"/>
      <c r="N268" s="7"/>
      <c r="O268" s="7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x14ac:dyDescent="0.25">
      <c r="A269" s="7"/>
      <c r="B269" s="11"/>
      <c r="C269" s="11"/>
      <c r="D269" s="11"/>
      <c r="E269" s="11"/>
      <c r="F269" s="11"/>
      <c r="G269" s="10"/>
      <c r="H269" s="10"/>
      <c r="I269" s="10"/>
      <c r="J269" s="7"/>
      <c r="K269" s="7"/>
      <c r="L269" s="7"/>
      <c r="M269" s="7"/>
      <c r="N269" s="7"/>
      <c r="O269" s="7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x14ac:dyDescent="0.25">
      <c r="A270" s="7"/>
      <c r="B270" s="11"/>
      <c r="C270" s="11"/>
      <c r="D270" s="11"/>
      <c r="E270" s="11"/>
      <c r="F270" s="11"/>
      <c r="G270" s="10"/>
      <c r="H270" s="10"/>
      <c r="I270" s="10"/>
      <c r="J270" s="7"/>
      <c r="K270" s="7"/>
      <c r="L270" s="7"/>
      <c r="M270" s="7"/>
      <c r="N270" s="7"/>
      <c r="O270" s="7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x14ac:dyDescent="0.25">
      <c r="A271" s="7"/>
      <c r="B271" s="11"/>
      <c r="C271" s="11"/>
      <c r="D271" s="11"/>
      <c r="E271" s="11"/>
      <c r="F271" s="11"/>
      <c r="G271" s="10"/>
      <c r="H271" s="10"/>
      <c r="I271" s="10"/>
      <c r="J271" s="7"/>
      <c r="K271" s="7"/>
      <c r="L271" s="7"/>
      <c r="M271" s="7"/>
      <c r="N271" s="7"/>
      <c r="O271" s="7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x14ac:dyDescent="0.25">
      <c r="A272" s="7"/>
      <c r="B272" s="11"/>
      <c r="C272" s="11"/>
      <c r="D272" s="11"/>
      <c r="E272" s="11"/>
      <c r="F272" s="11"/>
      <c r="G272" s="10"/>
      <c r="H272" s="10"/>
      <c r="I272" s="10"/>
      <c r="J272" s="7"/>
      <c r="K272" s="7"/>
      <c r="L272" s="7"/>
      <c r="M272" s="7"/>
      <c r="N272" s="7"/>
      <c r="O272" s="7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x14ac:dyDescent="0.25">
      <c r="A273" s="7"/>
      <c r="B273" s="11"/>
      <c r="C273" s="11"/>
      <c r="D273" s="11"/>
      <c r="E273" s="11"/>
      <c r="F273" s="11"/>
      <c r="G273" s="10"/>
      <c r="H273" s="10"/>
      <c r="I273" s="10"/>
      <c r="J273" s="7"/>
      <c r="K273" s="7"/>
      <c r="L273" s="7"/>
      <c r="M273" s="7"/>
      <c r="N273" s="7"/>
      <c r="O273" s="7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x14ac:dyDescent="0.25">
      <c r="A274" s="7"/>
      <c r="B274" s="11"/>
      <c r="C274" s="11"/>
      <c r="D274" s="11"/>
      <c r="E274" s="11"/>
      <c r="F274" s="11"/>
      <c r="G274" s="10"/>
      <c r="H274" s="10"/>
      <c r="I274" s="10"/>
      <c r="J274" s="7"/>
      <c r="K274" s="7"/>
      <c r="L274" s="7"/>
      <c r="M274" s="7"/>
      <c r="N274" s="7"/>
      <c r="O274" s="7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x14ac:dyDescent="0.25">
      <c r="A275" s="7"/>
      <c r="B275" s="11"/>
      <c r="C275" s="11"/>
      <c r="D275" s="11"/>
      <c r="E275" s="11"/>
      <c r="F275" s="11"/>
      <c r="G275" s="10"/>
      <c r="H275" s="10"/>
      <c r="I275" s="10"/>
      <c r="J275" s="7"/>
      <c r="K275" s="7"/>
      <c r="L275" s="7"/>
      <c r="M275" s="7"/>
      <c r="N275" s="7"/>
      <c r="O275" s="7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x14ac:dyDescent="0.25">
      <c r="A276" s="7"/>
      <c r="B276" s="11"/>
      <c r="C276" s="11"/>
      <c r="D276" s="11"/>
      <c r="E276" s="11"/>
      <c r="F276" s="11"/>
      <c r="G276" s="10"/>
      <c r="H276" s="10"/>
      <c r="I276" s="10"/>
      <c r="J276" s="7"/>
      <c r="K276" s="7"/>
      <c r="L276" s="7"/>
      <c r="M276" s="7"/>
      <c r="N276" s="7"/>
      <c r="O276" s="7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x14ac:dyDescent="0.25">
      <c r="A277" s="7"/>
      <c r="B277" s="11"/>
      <c r="C277" s="11"/>
      <c r="D277" s="11"/>
      <c r="E277" s="11"/>
      <c r="F277" s="11"/>
      <c r="G277" s="10"/>
      <c r="H277" s="10"/>
      <c r="I277" s="10"/>
      <c r="J277" s="7"/>
      <c r="K277" s="7"/>
      <c r="L277" s="7"/>
      <c r="M277" s="7"/>
      <c r="N277" s="7"/>
      <c r="O277" s="7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x14ac:dyDescent="0.25">
      <c r="A278" s="7"/>
      <c r="B278" s="11"/>
      <c r="C278" s="11"/>
      <c r="D278" s="11"/>
      <c r="E278" s="11"/>
      <c r="F278" s="11"/>
      <c r="G278" s="10"/>
      <c r="H278" s="10"/>
      <c r="I278" s="10"/>
      <c r="J278" s="7"/>
      <c r="K278" s="7"/>
      <c r="L278" s="7"/>
      <c r="M278" s="7"/>
      <c r="N278" s="7"/>
      <c r="O278" s="7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x14ac:dyDescent="0.25">
      <c r="A279" s="7"/>
      <c r="B279" s="11"/>
      <c r="C279" s="11"/>
      <c r="D279" s="11"/>
      <c r="E279" s="11"/>
      <c r="F279" s="11"/>
      <c r="G279" s="10"/>
      <c r="H279" s="10"/>
      <c r="I279" s="10"/>
      <c r="J279" s="7"/>
      <c r="K279" s="7"/>
      <c r="L279" s="7"/>
      <c r="M279" s="7"/>
      <c r="N279" s="7"/>
      <c r="O279" s="7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x14ac:dyDescent="0.25">
      <c r="A280" s="7"/>
      <c r="B280" s="11"/>
      <c r="C280" s="11"/>
      <c r="D280" s="11"/>
      <c r="E280" s="11"/>
      <c r="F280" s="11"/>
      <c r="G280" s="10"/>
      <c r="H280" s="10"/>
      <c r="I280" s="10"/>
      <c r="J280" s="7"/>
      <c r="K280" s="7"/>
      <c r="L280" s="7"/>
      <c r="M280" s="7"/>
      <c r="N280" s="7"/>
      <c r="O280" s="7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x14ac:dyDescent="0.25">
      <c r="A281" s="7"/>
      <c r="B281" s="11"/>
      <c r="C281" s="11"/>
      <c r="D281" s="11"/>
      <c r="E281" s="11"/>
      <c r="F281" s="11"/>
      <c r="G281" s="10"/>
      <c r="H281" s="10"/>
      <c r="I281" s="10"/>
      <c r="J281" s="7"/>
      <c r="K281" s="7"/>
      <c r="L281" s="7"/>
      <c r="M281" s="7"/>
      <c r="N281" s="7"/>
      <c r="O281" s="7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x14ac:dyDescent="0.25">
      <c r="A282" s="7"/>
      <c r="B282" s="11"/>
      <c r="C282" s="11"/>
      <c r="D282" s="11"/>
      <c r="E282" s="11"/>
      <c r="F282" s="11"/>
      <c r="G282" s="10"/>
      <c r="H282" s="10"/>
      <c r="I282" s="10"/>
      <c r="J282" s="7"/>
      <c r="K282" s="7"/>
      <c r="L282" s="7"/>
      <c r="M282" s="7"/>
      <c r="N282" s="7"/>
      <c r="O282" s="7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x14ac:dyDescent="0.25">
      <c r="A283" s="7"/>
      <c r="B283" s="11"/>
      <c r="C283" s="11"/>
      <c r="D283" s="11"/>
      <c r="E283" s="11"/>
      <c r="F283" s="11"/>
      <c r="G283" s="10"/>
      <c r="H283" s="10"/>
      <c r="I283" s="10"/>
      <c r="J283" s="7"/>
      <c r="K283" s="7"/>
      <c r="L283" s="7"/>
      <c r="M283" s="7"/>
      <c r="N283" s="7"/>
      <c r="O283" s="7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x14ac:dyDescent="0.25">
      <c r="A284" s="7"/>
      <c r="B284" s="11"/>
      <c r="C284" s="11"/>
      <c r="D284" s="11"/>
      <c r="E284" s="11"/>
      <c r="F284" s="11"/>
      <c r="G284" s="10"/>
      <c r="H284" s="10"/>
      <c r="I284" s="10"/>
      <c r="J284" s="7"/>
      <c r="K284" s="7"/>
      <c r="L284" s="7"/>
      <c r="M284" s="7"/>
      <c r="N284" s="7"/>
      <c r="O284" s="7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x14ac:dyDescent="0.25">
      <c r="A285" s="7"/>
      <c r="B285" s="11"/>
      <c r="C285" s="11"/>
      <c r="D285" s="11"/>
      <c r="E285" s="11"/>
      <c r="F285" s="11"/>
      <c r="G285" s="10"/>
      <c r="H285" s="10"/>
      <c r="I285" s="10"/>
      <c r="J285" s="7"/>
      <c r="K285" s="7"/>
      <c r="L285" s="7"/>
      <c r="M285" s="7"/>
      <c r="N285" s="7"/>
      <c r="O285" s="7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x14ac:dyDescent="0.25">
      <c r="A286" s="7"/>
      <c r="B286" s="11"/>
      <c r="C286" s="11"/>
      <c r="D286" s="11"/>
      <c r="E286" s="11"/>
      <c r="F286" s="11"/>
      <c r="G286" s="10"/>
      <c r="H286" s="10"/>
      <c r="I286" s="10"/>
      <c r="J286" s="7"/>
      <c r="K286" s="7"/>
      <c r="L286" s="7"/>
      <c r="M286" s="7"/>
      <c r="N286" s="7"/>
      <c r="O286" s="7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x14ac:dyDescent="0.25">
      <c r="A287" s="7"/>
      <c r="B287" s="11"/>
      <c r="C287" s="11"/>
      <c r="D287" s="11"/>
      <c r="E287" s="11"/>
      <c r="F287" s="11"/>
      <c r="G287" s="10"/>
      <c r="H287" s="10"/>
      <c r="I287" s="10"/>
      <c r="J287" s="7"/>
      <c r="K287" s="7"/>
      <c r="L287" s="7"/>
      <c r="M287" s="7"/>
      <c r="N287" s="7"/>
      <c r="O287" s="7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x14ac:dyDescent="0.25">
      <c r="A288" s="7"/>
      <c r="B288" s="11"/>
      <c r="C288" s="11"/>
      <c r="D288" s="11"/>
      <c r="E288" s="11"/>
      <c r="F288" s="11"/>
      <c r="G288" s="10"/>
      <c r="H288" s="10"/>
      <c r="I288" s="10"/>
      <c r="J288" s="7"/>
      <c r="K288" s="7"/>
      <c r="L288" s="7"/>
      <c r="M288" s="7"/>
      <c r="N288" s="7"/>
      <c r="O288" s="7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x14ac:dyDescent="0.25">
      <c r="A289" s="7"/>
      <c r="B289" s="11"/>
      <c r="C289" s="11"/>
      <c r="D289" s="11"/>
      <c r="E289" s="11"/>
      <c r="F289" s="11"/>
      <c r="G289" s="10"/>
      <c r="H289" s="10"/>
      <c r="I289" s="10"/>
      <c r="J289" s="7"/>
      <c r="K289" s="7"/>
      <c r="L289" s="7"/>
      <c r="M289" s="7"/>
      <c r="N289" s="7"/>
      <c r="O289" s="7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x14ac:dyDescent="0.25">
      <c r="A290" s="7"/>
      <c r="B290" s="11"/>
      <c r="C290" s="11"/>
      <c r="D290" s="11"/>
      <c r="E290" s="11"/>
      <c r="F290" s="11"/>
      <c r="G290" s="10"/>
      <c r="H290" s="10"/>
      <c r="I290" s="10"/>
      <c r="J290" s="7"/>
      <c r="K290" s="7"/>
      <c r="L290" s="7"/>
      <c r="M290" s="7"/>
      <c r="N290" s="7"/>
      <c r="O290" s="7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x14ac:dyDescent="0.25">
      <c r="A291" s="7"/>
      <c r="B291" s="11"/>
      <c r="C291" s="11"/>
      <c r="D291" s="11"/>
      <c r="E291" s="11"/>
      <c r="F291" s="11"/>
      <c r="G291" s="10"/>
      <c r="H291" s="10"/>
      <c r="I291" s="10"/>
      <c r="J291" s="7"/>
      <c r="K291" s="7"/>
      <c r="L291" s="7"/>
      <c r="M291" s="7"/>
      <c r="N291" s="7"/>
      <c r="O291" s="7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x14ac:dyDescent="0.25">
      <c r="A292" s="7"/>
      <c r="B292" s="11"/>
      <c r="C292" s="11"/>
      <c r="D292" s="11"/>
      <c r="E292" s="11"/>
      <c r="F292" s="11"/>
      <c r="G292" s="10"/>
      <c r="H292" s="10"/>
      <c r="I292" s="10"/>
      <c r="J292" s="7"/>
      <c r="K292" s="7"/>
      <c r="L292" s="7"/>
      <c r="M292" s="7"/>
      <c r="N292" s="7"/>
      <c r="O292" s="7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x14ac:dyDescent="0.25">
      <c r="A293" s="7"/>
      <c r="B293" s="11"/>
      <c r="C293" s="11"/>
      <c r="D293" s="11"/>
      <c r="E293" s="11"/>
      <c r="F293" s="11"/>
      <c r="G293" s="10"/>
      <c r="H293" s="10"/>
      <c r="I293" s="10"/>
      <c r="J293" s="7"/>
      <c r="K293" s="7"/>
      <c r="L293" s="7"/>
      <c r="M293" s="7"/>
      <c r="N293" s="7"/>
      <c r="O293" s="7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x14ac:dyDescent="0.25">
      <c r="A294" s="7"/>
      <c r="B294" s="11"/>
      <c r="C294" s="11"/>
      <c r="D294" s="11"/>
      <c r="E294" s="11"/>
      <c r="F294" s="11"/>
      <c r="G294" s="10"/>
      <c r="H294" s="10"/>
      <c r="I294" s="10"/>
      <c r="J294" s="7"/>
      <c r="K294" s="7"/>
      <c r="L294" s="7"/>
      <c r="M294" s="7"/>
      <c r="N294" s="7"/>
      <c r="O294" s="7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x14ac:dyDescent="0.25">
      <c r="A295" s="7"/>
      <c r="B295" s="11"/>
      <c r="C295" s="11"/>
      <c r="D295" s="11"/>
      <c r="E295" s="11"/>
      <c r="F295" s="11"/>
      <c r="G295" s="10"/>
      <c r="H295" s="10"/>
      <c r="I295" s="10"/>
      <c r="J295" s="7"/>
      <c r="K295" s="7"/>
      <c r="L295" s="7"/>
      <c r="M295" s="7"/>
      <c r="N295" s="7"/>
      <c r="O295" s="7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x14ac:dyDescent="0.25">
      <c r="A296" s="7"/>
      <c r="B296" s="11"/>
      <c r="C296" s="11"/>
      <c r="D296" s="11"/>
      <c r="E296" s="11"/>
      <c r="F296" s="11"/>
      <c r="G296" s="10"/>
      <c r="H296" s="10"/>
      <c r="I296" s="10"/>
      <c r="J296" s="7"/>
      <c r="K296" s="7"/>
      <c r="L296" s="7"/>
      <c r="M296" s="7"/>
      <c r="N296" s="7"/>
      <c r="O296" s="7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x14ac:dyDescent="0.25">
      <c r="A297" s="7"/>
      <c r="B297" s="11"/>
      <c r="C297" s="11"/>
      <c r="D297" s="11"/>
      <c r="E297" s="11"/>
      <c r="F297" s="11"/>
      <c r="G297" s="10"/>
      <c r="H297" s="10"/>
      <c r="I297" s="10"/>
      <c r="J297" s="7"/>
      <c r="K297" s="7"/>
      <c r="L297" s="7"/>
      <c r="M297" s="7"/>
      <c r="N297" s="7"/>
      <c r="O297" s="7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x14ac:dyDescent="0.25">
      <c r="A298" s="7"/>
      <c r="B298" s="11"/>
      <c r="C298" s="11"/>
      <c r="D298" s="11"/>
      <c r="E298" s="11"/>
      <c r="F298" s="11"/>
      <c r="G298" s="10"/>
      <c r="H298" s="10"/>
      <c r="I298" s="10"/>
      <c r="J298" s="7"/>
      <c r="K298" s="7"/>
      <c r="L298" s="7"/>
      <c r="M298" s="7"/>
      <c r="N298" s="7"/>
      <c r="O298" s="7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x14ac:dyDescent="0.25">
      <c r="A299" s="7"/>
      <c r="B299" s="11"/>
      <c r="C299" s="11"/>
      <c r="D299" s="11"/>
      <c r="E299" s="11"/>
      <c r="F299" s="11"/>
      <c r="G299" s="10"/>
      <c r="H299" s="10"/>
      <c r="I299" s="10"/>
      <c r="J299" s="7"/>
      <c r="K299" s="7"/>
      <c r="L299" s="7"/>
      <c r="M299" s="7"/>
      <c r="N299" s="7"/>
      <c r="O299" s="7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x14ac:dyDescent="0.25">
      <c r="A300" s="7"/>
      <c r="B300" s="11"/>
      <c r="C300" s="11"/>
      <c r="D300" s="11"/>
      <c r="E300" s="11"/>
      <c r="F300" s="11"/>
      <c r="G300" s="10"/>
      <c r="H300" s="10"/>
      <c r="I300" s="10"/>
      <c r="J300" s="7"/>
      <c r="K300" s="7"/>
      <c r="L300" s="7"/>
      <c r="M300" s="7"/>
      <c r="N300" s="7"/>
      <c r="O300" s="7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x14ac:dyDescent="0.25">
      <c r="A301" s="7"/>
      <c r="B301" s="11"/>
      <c r="C301" s="11"/>
      <c r="D301" s="11"/>
      <c r="E301" s="11"/>
      <c r="F301" s="11"/>
      <c r="G301" s="10"/>
      <c r="H301" s="10"/>
      <c r="I301" s="10"/>
      <c r="J301" s="7"/>
      <c r="K301" s="7"/>
      <c r="L301" s="7"/>
      <c r="M301" s="7"/>
      <c r="N301" s="7"/>
      <c r="O301" s="7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x14ac:dyDescent="0.25">
      <c r="A302" s="7"/>
      <c r="B302" s="11"/>
      <c r="C302" s="11"/>
      <c r="D302" s="11"/>
      <c r="E302" s="11"/>
      <c r="F302" s="11"/>
      <c r="G302" s="10"/>
      <c r="H302" s="10"/>
      <c r="I302" s="10"/>
      <c r="J302" s="7"/>
      <c r="K302" s="7"/>
      <c r="L302" s="7"/>
      <c r="M302" s="7"/>
      <c r="N302" s="7"/>
      <c r="O302" s="7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x14ac:dyDescent="0.25">
      <c r="A303" s="7"/>
      <c r="B303" s="11"/>
      <c r="C303" s="11"/>
      <c r="D303" s="11"/>
      <c r="E303" s="11"/>
      <c r="F303" s="11"/>
      <c r="G303" s="10"/>
      <c r="H303" s="10"/>
      <c r="I303" s="10"/>
      <c r="J303" s="7"/>
      <c r="K303" s="7"/>
      <c r="L303" s="7"/>
      <c r="M303" s="7"/>
      <c r="N303" s="7"/>
      <c r="O303" s="7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x14ac:dyDescent="0.25">
      <c r="A304" s="7"/>
      <c r="B304" s="11"/>
      <c r="C304" s="11"/>
      <c r="D304" s="11"/>
      <c r="E304" s="11"/>
      <c r="F304" s="11"/>
      <c r="G304" s="10"/>
      <c r="H304" s="10"/>
      <c r="I304" s="10"/>
      <c r="J304" s="7"/>
      <c r="K304" s="7"/>
      <c r="L304" s="7"/>
      <c r="M304" s="7"/>
      <c r="N304" s="7"/>
      <c r="O304" s="7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x14ac:dyDescent="0.25">
      <c r="A305" s="7"/>
      <c r="B305" s="11"/>
      <c r="C305" s="11"/>
      <c r="D305" s="11"/>
      <c r="E305" s="11"/>
      <c r="F305" s="11"/>
      <c r="G305" s="10"/>
      <c r="H305" s="10"/>
      <c r="I305" s="10"/>
      <c r="J305" s="7"/>
      <c r="K305" s="7"/>
      <c r="L305" s="7"/>
      <c r="M305" s="7"/>
      <c r="N305" s="7"/>
      <c r="O305" s="7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x14ac:dyDescent="0.25">
      <c r="A306" s="7"/>
      <c r="B306" s="11"/>
      <c r="C306" s="11"/>
      <c r="D306" s="11"/>
      <c r="E306" s="11"/>
      <c r="F306" s="11"/>
      <c r="G306" s="10"/>
      <c r="H306" s="10"/>
      <c r="I306" s="10"/>
      <c r="J306" s="7"/>
      <c r="K306" s="7"/>
      <c r="L306" s="7"/>
      <c r="M306" s="7"/>
      <c r="N306" s="7"/>
      <c r="O306" s="7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x14ac:dyDescent="0.25">
      <c r="A307" s="7"/>
      <c r="B307" s="11"/>
      <c r="C307" s="11"/>
      <c r="D307" s="11"/>
      <c r="E307" s="11"/>
      <c r="F307" s="11"/>
      <c r="G307" s="10"/>
      <c r="H307" s="10"/>
      <c r="I307" s="10"/>
      <c r="J307" s="7"/>
      <c r="K307" s="7"/>
      <c r="L307" s="7"/>
      <c r="M307" s="7"/>
      <c r="N307" s="7"/>
      <c r="O307" s="7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x14ac:dyDescent="0.25">
      <c r="A308" s="7"/>
      <c r="B308" s="11"/>
      <c r="C308" s="11"/>
      <c r="D308" s="11"/>
      <c r="E308" s="11"/>
      <c r="F308" s="11"/>
      <c r="G308" s="10"/>
      <c r="H308" s="10"/>
      <c r="I308" s="10"/>
      <c r="J308" s="7"/>
      <c r="K308" s="7"/>
      <c r="L308" s="7"/>
      <c r="M308" s="7"/>
      <c r="N308" s="7"/>
      <c r="O308" s="7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x14ac:dyDescent="0.25">
      <c r="A309" s="7"/>
      <c r="B309" s="11"/>
      <c r="C309" s="11"/>
      <c r="D309" s="11"/>
      <c r="E309" s="11"/>
      <c r="F309" s="11"/>
      <c r="G309" s="10"/>
      <c r="H309" s="10"/>
      <c r="I309" s="10"/>
      <c r="J309" s="7"/>
      <c r="K309" s="7"/>
      <c r="L309" s="7"/>
      <c r="M309" s="7"/>
      <c r="N309" s="7"/>
      <c r="O309" s="7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x14ac:dyDescent="0.25">
      <c r="A310" s="7"/>
      <c r="B310" s="11"/>
      <c r="C310" s="11"/>
      <c r="D310" s="11"/>
      <c r="E310" s="11"/>
      <c r="F310" s="11"/>
      <c r="G310" s="10"/>
      <c r="H310" s="10"/>
      <c r="I310" s="10"/>
      <c r="J310" s="7"/>
      <c r="K310" s="7"/>
      <c r="L310" s="7"/>
      <c r="M310" s="7"/>
      <c r="N310" s="7"/>
      <c r="O310" s="7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x14ac:dyDescent="0.25">
      <c r="A311" s="7"/>
      <c r="B311" s="11"/>
      <c r="C311" s="11"/>
      <c r="D311" s="11"/>
      <c r="E311" s="11"/>
      <c r="F311" s="11"/>
      <c r="G311" s="10"/>
      <c r="H311" s="10"/>
      <c r="I311" s="10"/>
      <c r="J311" s="7"/>
      <c r="K311" s="7"/>
      <c r="L311" s="7"/>
      <c r="M311" s="7"/>
      <c r="N311" s="7"/>
      <c r="O311" s="7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x14ac:dyDescent="0.25">
      <c r="A312" s="7"/>
      <c r="B312" s="11"/>
      <c r="C312" s="11"/>
      <c r="D312" s="11"/>
      <c r="E312" s="11"/>
      <c r="F312" s="11"/>
      <c r="G312" s="10"/>
      <c r="H312" s="10"/>
      <c r="I312" s="10"/>
      <c r="J312" s="7"/>
      <c r="K312" s="7"/>
      <c r="L312" s="7"/>
      <c r="M312" s="7"/>
      <c r="N312" s="7"/>
      <c r="O312" s="7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x14ac:dyDescent="0.25">
      <c r="A313" s="7"/>
      <c r="B313" s="11"/>
      <c r="C313" s="11"/>
      <c r="D313" s="11"/>
      <c r="E313" s="11"/>
      <c r="F313" s="11"/>
      <c r="G313" s="10"/>
      <c r="H313" s="10"/>
      <c r="I313" s="10"/>
      <c r="J313" s="7"/>
      <c r="K313" s="7"/>
      <c r="L313" s="7"/>
      <c r="M313" s="7"/>
      <c r="N313" s="7"/>
      <c r="O313" s="7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x14ac:dyDescent="0.25">
      <c r="A314" s="7"/>
      <c r="B314" s="11"/>
      <c r="C314" s="11"/>
      <c r="D314" s="11"/>
      <c r="E314" s="11"/>
      <c r="F314" s="11"/>
      <c r="G314" s="10"/>
      <c r="H314" s="10"/>
      <c r="I314" s="10"/>
      <c r="J314" s="7"/>
      <c r="K314" s="7"/>
      <c r="L314" s="7"/>
      <c r="M314" s="7"/>
      <c r="N314" s="7"/>
      <c r="O314" s="7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x14ac:dyDescent="0.25">
      <c r="A315" s="7"/>
      <c r="B315" s="11"/>
      <c r="C315" s="11"/>
      <c r="D315" s="11"/>
      <c r="E315" s="11"/>
      <c r="F315" s="11"/>
      <c r="G315" s="10"/>
      <c r="H315" s="10"/>
      <c r="I315" s="10"/>
      <c r="J315" s="7"/>
      <c r="K315" s="7"/>
      <c r="L315" s="7"/>
      <c r="M315" s="7"/>
      <c r="N315" s="7"/>
      <c r="O315" s="7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x14ac:dyDescent="0.25">
      <c r="A316" s="7"/>
      <c r="B316" s="11"/>
      <c r="C316" s="11"/>
      <c r="D316" s="11"/>
      <c r="E316" s="11"/>
      <c r="F316" s="11"/>
      <c r="G316" s="10"/>
      <c r="H316" s="10"/>
      <c r="I316" s="10"/>
      <c r="J316" s="7"/>
      <c r="K316" s="7"/>
      <c r="L316" s="7"/>
      <c r="M316" s="7"/>
      <c r="N316" s="7"/>
      <c r="O316" s="7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x14ac:dyDescent="0.25">
      <c r="A317" s="7"/>
      <c r="B317" s="11"/>
      <c r="C317" s="11"/>
      <c r="D317" s="11"/>
      <c r="E317" s="11"/>
      <c r="F317" s="11"/>
      <c r="G317" s="10"/>
      <c r="H317" s="10"/>
      <c r="I317" s="10"/>
      <c r="J317" s="7"/>
      <c r="K317" s="7"/>
      <c r="L317" s="7"/>
      <c r="M317" s="7"/>
      <c r="N317" s="7"/>
      <c r="O317" s="7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x14ac:dyDescent="0.25">
      <c r="A318" s="7"/>
      <c r="B318" s="11"/>
      <c r="C318" s="11"/>
      <c r="D318" s="11"/>
      <c r="E318" s="11"/>
      <c r="F318" s="11"/>
      <c r="G318" s="10"/>
      <c r="H318" s="10"/>
      <c r="I318" s="10"/>
      <c r="J318" s="7"/>
      <c r="K318" s="7"/>
      <c r="L318" s="7"/>
      <c r="M318" s="7"/>
      <c r="N318" s="7"/>
      <c r="O318" s="7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x14ac:dyDescent="0.25">
      <c r="A319" s="7"/>
      <c r="B319" s="11"/>
      <c r="C319" s="11"/>
      <c r="D319" s="11"/>
      <c r="E319" s="11"/>
      <c r="F319" s="11"/>
      <c r="G319" s="10"/>
      <c r="H319" s="10"/>
      <c r="I319" s="10"/>
      <c r="J319" s="7"/>
      <c r="K319" s="7"/>
      <c r="L319" s="7"/>
      <c r="M319" s="7"/>
      <c r="N319" s="7"/>
      <c r="O319" s="7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x14ac:dyDescent="0.25">
      <c r="A320" s="7"/>
      <c r="B320" s="11"/>
      <c r="C320" s="11"/>
      <c r="D320" s="11"/>
      <c r="E320" s="11"/>
      <c r="F320" s="11"/>
      <c r="G320" s="10"/>
      <c r="H320" s="10"/>
      <c r="I320" s="10"/>
      <c r="J320" s="7"/>
      <c r="K320" s="7"/>
      <c r="L320" s="7"/>
      <c r="M320" s="7"/>
      <c r="N320" s="7"/>
      <c r="O320" s="7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x14ac:dyDescent="0.25">
      <c r="A321" s="7"/>
      <c r="B321" s="11"/>
      <c r="C321" s="11"/>
      <c r="D321" s="11"/>
      <c r="E321" s="11"/>
      <c r="F321" s="11"/>
      <c r="G321" s="10"/>
      <c r="H321" s="10"/>
      <c r="I321" s="10"/>
      <c r="J321" s="7"/>
      <c r="K321" s="7"/>
      <c r="L321" s="7"/>
      <c r="M321" s="7"/>
      <c r="N321" s="7"/>
      <c r="O321" s="7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x14ac:dyDescent="0.25">
      <c r="A322" s="7"/>
      <c r="B322" s="11"/>
      <c r="C322" s="11"/>
      <c r="D322" s="11"/>
      <c r="E322" s="11"/>
      <c r="F322" s="11"/>
      <c r="G322" s="10"/>
      <c r="H322" s="10"/>
      <c r="I322" s="10"/>
      <c r="J322" s="7"/>
      <c r="K322" s="7"/>
      <c r="L322" s="7"/>
      <c r="M322" s="7"/>
      <c r="N322" s="7"/>
      <c r="O322" s="7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x14ac:dyDescent="0.25">
      <c r="A323" s="7"/>
      <c r="B323" s="11"/>
      <c r="C323" s="11"/>
      <c r="D323" s="11"/>
      <c r="E323" s="11"/>
      <c r="F323" s="11"/>
      <c r="G323" s="10"/>
      <c r="H323" s="10"/>
      <c r="I323" s="10"/>
      <c r="J323" s="7"/>
      <c r="K323" s="7"/>
      <c r="L323" s="7"/>
      <c r="M323" s="7"/>
      <c r="N323" s="7"/>
      <c r="O323" s="7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x14ac:dyDescent="0.25">
      <c r="A324" s="7"/>
      <c r="B324" s="11"/>
      <c r="C324" s="11"/>
      <c r="D324" s="11"/>
      <c r="E324" s="11"/>
      <c r="F324" s="11"/>
      <c r="G324" s="10"/>
      <c r="H324" s="10"/>
      <c r="I324" s="10"/>
      <c r="J324" s="7"/>
      <c r="K324" s="7"/>
      <c r="L324" s="7"/>
      <c r="M324" s="7"/>
      <c r="N324" s="7"/>
      <c r="O324" s="7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x14ac:dyDescent="0.25">
      <c r="A325" s="7"/>
      <c r="B325" s="11"/>
      <c r="C325" s="11"/>
      <c r="D325" s="11"/>
      <c r="E325" s="11"/>
      <c r="F325" s="11"/>
      <c r="G325" s="10"/>
      <c r="H325" s="10"/>
      <c r="I325" s="10"/>
      <c r="J325" s="7"/>
      <c r="K325" s="7"/>
      <c r="L325" s="7"/>
      <c r="M325" s="7"/>
      <c r="N325" s="7"/>
      <c r="O325" s="7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x14ac:dyDescent="0.25">
      <c r="A326" s="7"/>
      <c r="B326" s="11"/>
      <c r="C326" s="11"/>
      <c r="D326" s="11"/>
      <c r="E326" s="11"/>
      <c r="F326" s="11"/>
      <c r="G326" s="10"/>
      <c r="H326" s="10"/>
      <c r="I326" s="10"/>
      <c r="J326" s="7"/>
      <c r="K326" s="7"/>
      <c r="L326" s="7"/>
      <c r="M326" s="7"/>
      <c r="N326" s="7"/>
      <c r="O326" s="7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x14ac:dyDescent="0.25">
      <c r="A327" s="7"/>
      <c r="B327" s="11"/>
      <c r="C327" s="11"/>
      <c r="D327" s="11"/>
      <c r="E327" s="11"/>
      <c r="F327" s="11"/>
      <c r="G327" s="10"/>
      <c r="H327" s="10"/>
      <c r="I327" s="10"/>
      <c r="J327" s="7"/>
      <c r="K327" s="7"/>
      <c r="L327" s="7"/>
      <c r="M327" s="7"/>
      <c r="N327" s="7"/>
      <c r="O327" s="7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x14ac:dyDescent="0.25">
      <c r="A328" s="7"/>
      <c r="B328" s="11"/>
      <c r="C328" s="11"/>
      <c r="D328" s="11"/>
      <c r="E328" s="11"/>
      <c r="F328" s="11"/>
      <c r="G328" s="10"/>
      <c r="H328" s="10"/>
      <c r="I328" s="10"/>
      <c r="J328" s="7"/>
      <c r="K328" s="7"/>
      <c r="L328" s="7"/>
      <c r="M328" s="7"/>
      <c r="N328" s="7"/>
      <c r="O328" s="7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x14ac:dyDescent="0.25">
      <c r="A329" s="7"/>
      <c r="B329" s="11"/>
      <c r="C329" s="11"/>
      <c r="D329" s="11"/>
      <c r="E329" s="11"/>
      <c r="F329" s="11"/>
      <c r="G329" s="10"/>
      <c r="H329" s="10"/>
      <c r="I329" s="10"/>
      <c r="J329" s="7"/>
      <c r="K329" s="7"/>
      <c r="L329" s="7"/>
      <c r="M329" s="7"/>
      <c r="N329" s="7"/>
      <c r="O329" s="7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x14ac:dyDescent="0.25">
      <c r="A330" s="7"/>
      <c r="B330" s="11"/>
      <c r="C330" s="11"/>
      <c r="D330" s="11"/>
      <c r="E330" s="11"/>
      <c r="F330" s="11"/>
      <c r="G330" s="10"/>
      <c r="H330" s="10"/>
      <c r="I330" s="10"/>
      <c r="J330" s="7"/>
      <c r="K330" s="7"/>
      <c r="L330" s="7"/>
      <c r="M330" s="7"/>
      <c r="N330" s="7"/>
      <c r="O330" s="7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x14ac:dyDescent="0.25">
      <c r="A331" s="7"/>
      <c r="B331" s="11"/>
      <c r="C331" s="11"/>
      <c r="D331" s="11"/>
      <c r="E331" s="11"/>
      <c r="F331" s="11"/>
      <c r="G331" s="10"/>
      <c r="H331" s="10"/>
      <c r="I331" s="10"/>
      <c r="J331" s="7"/>
      <c r="K331" s="7"/>
      <c r="L331" s="7"/>
      <c r="M331" s="7"/>
      <c r="N331" s="7"/>
      <c r="O331" s="7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x14ac:dyDescent="0.25">
      <c r="A332" s="7"/>
      <c r="B332" s="11"/>
      <c r="C332" s="11"/>
      <c r="D332" s="11"/>
      <c r="E332" s="11"/>
      <c r="F332" s="11"/>
      <c r="G332" s="10"/>
      <c r="H332" s="10"/>
      <c r="I332" s="10"/>
      <c r="J332" s="7"/>
      <c r="K332" s="7"/>
      <c r="L332" s="7"/>
      <c r="M332" s="7"/>
      <c r="N332" s="7"/>
      <c r="O332" s="7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x14ac:dyDescent="0.25">
      <c r="A333" s="7"/>
      <c r="B333" s="11"/>
      <c r="C333" s="11"/>
      <c r="D333" s="11"/>
      <c r="E333" s="11"/>
      <c r="F333" s="11"/>
      <c r="G333" s="10"/>
      <c r="H333" s="10"/>
      <c r="I333" s="10"/>
      <c r="J333" s="7"/>
      <c r="K333" s="7"/>
      <c r="L333" s="7"/>
      <c r="M333" s="7"/>
      <c r="N333" s="7"/>
      <c r="O333" s="7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x14ac:dyDescent="0.25">
      <c r="A334" s="7"/>
      <c r="B334" s="11"/>
      <c r="C334" s="11"/>
      <c r="D334" s="11"/>
      <c r="E334" s="11"/>
      <c r="F334" s="11"/>
      <c r="G334" s="10"/>
      <c r="H334" s="10"/>
      <c r="I334" s="10"/>
      <c r="J334" s="7"/>
      <c r="K334" s="7"/>
      <c r="L334" s="7"/>
      <c r="M334" s="7"/>
      <c r="N334" s="7"/>
      <c r="O334" s="7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x14ac:dyDescent="0.25">
      <c r="A335" s="7"/>
      <c r="B335" s="11"/>
      <c r="C335" s="11"/>
      <c r="D335" s="11"/>
      <c r="E335" s="11"/>
      <c r="F335" s="11"/>
      <c r="G335" s="10"/>
      <c r="H335" s="10"/>
      <c r="I335" s="10"/>
      <c r="J335" s="7"/>
      <c r="K335" s="7"/>
      <c r="L335" s="7"/>
      <c r="M335" s="7"/>
      <c r="N335" s="7"/>
      <c r="O335" s="7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x14ac:dyDescent="0.25">
      <c r="A336" s="7"/>
      <c r="B336" s="11"/>
      <c r="C336" s="11"/>
      <c r="D336" s="11"/>
      <c r="E336" s="11"/>
      <c r="F336" s="11"/>
      <c r="G336" s="10"/>
      <c r="H336" s="10"/>
      <c r="I336" s="10"/>
      <c r="J336" s="7"/>
      <c r="K336" s="7"/>
      <c r="L336" s="7"/>
      <c r="M336" s="7"/>
      <c r="N336" s="7"/>
      <c r="O336" s="7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x14ac:dyDescent="0.25">
      <c r="A337" s="7"/>
      <c r="B337" s="11"/>
      <c r="C337" s="11"/>
      <c r="D337" s="11"/>
      <c r="E337" s="11"/>
      <c r="F337" s="11"/>
      <c r="G337" s="10"/>
      <c r="H337" s="10"/>
      <c r="I337" s="10"/>
      <c r="J337" s="7"/>
      <c r="K337" s="7"/>
      <c r="L337" s="7"/>
      <c r="M337" s="7"/>
      <c r="N337" s="7"/>
      <c r="O337" s="7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x14ac:dyDescent="0.25">
      <c r="A338" s="7"/>
      <c r="B338" s="11"/>
      <c r="C338" s="11"/>
      <c r="D338" s="11"/>
      <c r="E338" s="11"/>
      <c r="F338" s="11"/>
      <c r="G338" s="10"/>
      <c r="H338" s="10"/>
      <c r="I338" s="10"/>
      <c r="J338" s="7"/>
      <c r="K338" s="7"/>
      <c r="L338" s="7"/>
      <c r="M338" s="7"/>
      <c r="N338" s="7"/>
      <c r="O338" s="7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x14ac:dyDescent="0.25">
      <c r="A339" s="7"/>
      <c r="B339" s="11"/>
      <c r="C339" s="11"/>
      <c r="D339" s="11"/>
      <c r="E339" s="11"/>
      <c r="F339" s="11"/>
      <c r="G339" s="10"/>
      <c r="H339" s="10"/>
      <c r="I339" s="10"/>
      <c r="J339" s="7"/>
      <c r="K339" s="7"/>
      <c r="L339" s="7"/>
      <c r="M339" s="7"/>
      <c r="N339" s="7"/>
      <c r="O339" s="7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x14ac:dyDescent="0.25">
      <c r="A340" s="7"/>
      <c r="B340" s="11"/>
      <c r="C340" s="11"/>
      <c r="D340" s="11"/>
      <c r="E340" s="11"/>
      <c r="F340" s="11"/>
      <c r="G340" s="10"/>
      <c r="H340" s="10"/>
      <c r="I340" s="10"/>
      <c r="J340" s="7"/>
      <c r="K340" s="7"/>
      <c r="L340" s="7"/>
      <c r="M340" s="7"/>
      <c r="N340" s="7"/>
      <c r="O340" s="7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x14ac:dyDescent="0.25">
      <c r="A341" s="7"/>
      <c r="B341" s="11"/>
      <c r="C341" s="11"/>
      <c r="D341" s="11"/>
      <c r="E341" s="11"/>
      <c r="F341" s="11"/>
      <c r="G341" s="10"/>
      <c r="H341" s="10"/>
      <c r="I341" s="10"/>
      <c r="J341" s="7"/>
      <c r="K341" s="7"/>
      <c r="L341" s="7"/>
      <c r="M341" s="7"/>
      <c r="N341" s="7"/>
      <c r="O341" s="7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x14ac:dyDescent="0.25">
      <c r="A342" s="7"/>
      <c r="B342" s="11"/>
      <c r="C342" s="11"/>
      <c r="D342" s="11"/>
      <c r="E342" s="11"/>
      <c r="F342" s="11"/>
      <c r="G342" s="10"/>
      <c r="H342" s="10"/>
      <c r="I342" s="10"/>
      <c r="J342" s="7"/>
      <c r="K342" s="7"/>
      <c r="L342" s="7"/>
      <c r="M342" s="7"/>
      <c r="N342" s="7"/>
      <c r="O342" s="7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x14ac:dyDescent="0.25">
      <c r="A343" s="7"/>
      <c r="B343" s="11"/>
      <c r="C343" s="11"/>
      <c r="D343" s="11"/>
      <c r="E343" s="11"/>
      <c r="F343" s="11"/>
      <c r="G343" s="10"/>
      <c r="H343" s="10"/>
      <c r="I343" s="10"/>
      <c r="J343" s="7"/>
      <c r="K343" s="7"/>
      <c r="L343" s="7"/>
      <c r="M343" s="7"/>
      <c r="N343" s="7"/>
      <c r="O343" s="7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x14ac:dyDescent="0.25">
      <c r="A344" s="7"/>
      <c r="B344" s="11"/>
      <c r="C344" s="11"/>
      <c r="D344" s="11"/>
      <c r="E344" s="11"/>
      <c r="F344" s="11"/>
      <c r="G344" s="10"/>
      <c r="H344" s="10"/>
      <c r="I344" s="10"/>
      <c r="J344" s="7"/>
      <c r="K344" s="7"/>
      <c r="L344" s="7"/>
      <c r="M344" s="7"/>
      <c r="N344" s="7"/>
      <c r="O344" s="7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x14ac:dyDescent="0.25">
      <c r="A345" s="7"/>
      <c r="B345" s="11"/>
      <c r="C345" s="11"/>
      <c r="D345" s="11"/>
      <c r="E345" s="11"/>
      <c r="F345" s="11"/>
      <c r="G345" s="10"/>
      <c r="H345" s="10"/>
      <c r="I345" s="10"/>
      <c r="J345" s="7"/>
      <c r="K345" s="7"/>
      <c r="L345" s="7"/>
      <c r="M345" s="7"/>
      <c r="N345" s="7"/>
      <c r="O345" s="7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x14ac:dyDescent="0.25">
      <c r="A346" s="7"/>
      <c r="B346" s="11"/>
      <c r="C346" s="11"/>
      <c r="D346" s="11"/>
      <c r="E346" s="11"/>
      <c r="F346" s="11"/>
      <c r="G346" s="10"/>
      <c r="H346" s="10"/>
      <c r="I346" s="10"/>
      <c r="J346" s="7"/>
      <c r="K346" s="7"/>
      <c r="L346" s="7"/>
      <c r="M346" s="7"/>
      <c r="N346" s="7"/>
      <c r="O346" s="7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x14ac:dyDescent="0.25">
      <c r="A347" s="7"/>
      <c r="B347" s="11"/>
      <c r="C347" s="11"/>
      <c r="D347" s="11"/>
      <c r="E347" s="11"/>
      <c r="F347" s="11"/>
      <c r="G347" s="10"/>
      <c r="H347" s="10"/>
      <c r="I347" s="10"/>
      <c r="J347" s="7"/>
      <c r="K347" s="7"/>
      <c r="L347" s="7"/>
      <c r="M347" s="7"/>
      <c r="N347" s="7"/>
      <c r="O347" s="7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x14ac:dyDescent="0.25">
      <c r="A348" s="7"/>
      <c r="B348" s="11"/>
      <c r="C348" s="11"/>
      <c r="D348" s="11"/>
      <c r="E348" s="11"/>
      <c r="F348" s="11"/>
      <c r="G348" s="10"/>
      <c r="H348" s="10"/>
      <c r="I348" s="10"/>
      <c r="J348" s="7"/>
      <c r="K348" s="7"/>
      <c r="L348" s="7"/>
      <c r="M348" s="7"/>
      <c r="N348" s="7"/>
      <c r="O348" s="7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x14ac:dyDescent="0.25">
      <c r="A349" s="7"/>
      <c r="B349" s="11"/>
      <c r="C349" s="11"/>
      <c r="D349" s="11"/>
      <c r="E349" s="11"/>
      <c r="F349" s="11"/>
      <c r="G349" s="10"/>
      <c r="H349" s="10"/>
      <c r="I349" s="10"/>
      <c r="J349" s="7"/>
      <c r="K349" s="7"/>
      <c r="L349" s="7"/>
      <c r="M349" s="7"/>
      <c r="N349" s="7"/>
      <c r="O349" s="7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x14ac:dyDescent="0.25">
      <c r="A350" s="7"/>
      <c r="B350" s="11"/>
      <c r="C350" s="11"/>
      <c r="D350" s="11"/>
      <c r="E350" s="11"/>
      <c r="F350" s="11"/>
      <c r="G350" s="10"/>
      <c r="H350" s="10"/>
      <c r="I350" s="10"/>
      <c r="J350" s="7"/>
      <c r="K350" s="7"/>
      <c r="L350" s="7"/>
      <c r="M350" s="7"/>
      <c r="N350" s="7"/>
      <c r="O350" s="7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x14ac:dyDescent="0.25">
      <c r="A351" s="7"/>
      <c r="B351" s="11"/>
      <c r="C351" s="11"/>
      <c r="D351" s="11"/>
      <c r="E351" s="11"/>
      <c r="F351" s="11"/>
      <c r="G351" s="10"/>
      <c r="H351" s="10"/>
      <c r="I351" s="10"/>
      <c r="J351" s="7"/>
      <c r="K351" s="7"/>
      <c r="L351" s="7"/>
      <c r="M351" s="7"/>
      <c r="N351" s="7"/>
      <c r="O351" s="7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x14ac:dyDescent="0.25">
      <c r="A352" s="7"/>
      <c r="B352" s="11"/>
      <c r="C352" s="11"/>
      <c r="D352" s="11"/>
      <c r="E352" s="11"/>
      <c r="F352" s="11"/>
      <c r="G352" s="10"/>
      <c r="H352" s="10"/>
      <c r="I352" s="10"/>
      <c r="J352" s="7"/>
      <c r="K352" s="7"/>
      <c r="L352" s="7"/>
      <c r="M352" s="7"/>
      <c r="N352" s="7"/>
      <c r="O352" s="7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x14ac:dyDescent="0.25">
      <c r="A353" s="7"/>
      <c r="B353" s="11"/>
      <c r="C353" s="11"/>
      <c r="D353" s="11"/>
      <c r="E353" s="11"/>
      <c r="F353" s="11"/>
      <c r="G353" s="10"/>
      <c r="H353" s="10"/>
      <c r="I353" s="10"/>
      <c r="J353" s="7"/>
      <c r="K353" s="7"/>
      <c r="L353" s="7"/>
      <c r="M353" s="7"/>
      <c r="N353" s="7"/>
      <c r="O353" s="7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x14ac:dyDescent="0.25">
      <c r="A354" s="7"/>
      <c r="B354" s="11"/>
      <c r="C354" s="11"/>
      <c r="D354" s="11"/>
      <c r="E354" s="11"/>
      <c r="F354" s="11"/>
      <c r="G354" s="10"/>
      <c r="H354" s="10"/>
      <c r="I354" s="10"/>
      <c r="J354" s="7"/>
      <c r="K354" s="7"/>
      <c r="L354" s="7"/>
      <c r="M354" s="7"/>
      <c r="N354" s="7"/>
      <c r="O354" s="7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x14ac:dyDescent="0.25">
      <c r="A355" s="7"/>
      <c r="B355" s="11"/>
      <c r="C355" s="11"/>
      <c r="D355" s="11"/>
      <c r="E355" s="11"/>
      <c r="F355" s="11"/>
      <c r="G355" s="10"/>
      <c r="H355" s="10"/>
      <c r="I355" s="10"/>
      <c r="J355" s="7"/>
      <c r="K355" s="7"/>
      <c r="L355" s="7"/>
      <c r="M355" s="7"/>
      <c r="N355" s="7"/>
      <c r="O355" s="7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x14ac:dyDescent="0.25">
      <c r="A356" s="7"/>
      <c r="B356" s="11"/>
      <c r="C356" s="11"/>
      <c r="D356" s="11"/>
      <c r="E356" s="11"/>
      <c r="F356" s="11"/>
      <c r="G356" s="10"/>
      <c r="H356" s="10"/>
      <c r="I356" s="10"/>
      <c r="J356" s="7"/>
      <c r="K356" s="7"/>
      <c r="L356" s="7"/>
      <c r="M356" s="7"/>
      <c r="N356" s="7"/>
      <c r="O356" s="7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x14ac:dyDescent="0.25">
      <c r="A357" s="7"/>
      <c r="B357" s="11"/>
      <c r="C357" s="11"/>
      <c r="D357" s="11"/>
      <c r="E357" s="11"/>
      <c r="F357" s="11"/>
      <c r="G357" s="10"/>
      <c r="H357" s="10"/>
      <c r="I357" s="10"/>
      <c r="J357" s="7"/>
      <c r="K357" s="7"/>
      <c r="L357" s="7"/>
      <c r="M357" s="7"/>
      <c r="N357" s="7"/>
      <c r="O357" s="7"/>
      <c r="P357" s="10"/>
      <c r="Q357" s="10"/>
      <c r="R357" s="10"/>
      <c r="S357" s="10"/>
      <c r="T357" s="10"/>
      <c r="U357" s="10"/>
      <c r="V357" s="10"/>
      <c r="W357" s="10"/>
      <c r="X357" s="10"/>
    </row>
  </sheetData>
  <mergeCells count="2">
    <mergeCell ref="B1:G1"/>
    <mergeCell ref="B2:G2"/>
  </mergeCells>
  <conditionalFormatting sqref="A21:D21 A22:G22 C34:D34 C35:G35 A8:G20 I8:I23 F21:G21 A23:C23 E23:G23 A24:F24 H24:I24 A25:G33 F34:G34 A34:B35 I301:XFD1048576 A358:G1048576 R8:XFD300 I25:I300 A36:H357">
    <cfRule type="expression" dxfId="3" priority="8">
      <formula>CELL("Schutz",A8)=0</formula>
    </cfRule>
  </conditionalFormatting>
  <conditionalFormatting sqref="C21:C22 C34:C35">
    <cfRule type="cellIs" dxfId="2" priority="5" operator="lessThanOrEqual">
      <formula>0.1044</formula>
    </cfRule>
    <cfRule type="cellIs" dxfId="1" priority="6" operator="greaterThan">
      <formula>0.15</formula>
    </cfRule>
    <cfRule type="cellIs" dxfId="0" priority="7" operator="greaterThan">
      <formula>0.1044</formula>
    </cfRule>
  </conditionalFormatting>
  <conditionalFormatting sqref="G14:G1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{A637F2D7-225F-4F5B-AB1B-D068BA55BA21}</x14:id>
        </ext>
      </extLst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{05789A1F-88F1-44D8-B38C-578D87C650F1}</x14:id>
        </ext>
      </extLst>
    </cfRule>
  </conditionalFormatting>
  <conditionalFormatting sqref="G27:G2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{5EE9D7B4-338F-4F0C-BC9C-1B9441DF7271}</x14:id>
        </ext>
      </extLst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37F2D7-225F-4F5B-AB1B-D068BA55BA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5789A1F-88F1-44D8-B38C-578D87C650F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G14:G16</xm:sqref>
        </x14:conditionalFormatting>
        <x14:conditionalFormatting xmlns:xm="http://schemas.microsoft.com/office/excel/2006/main">
          <x14:cfRule type="dataBar" id="{5EE9D7B4-338F-4F0C-BC9C-1B9441DF72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G27:G29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Verrollen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Perényi Csaba</dc:creator>
  <cp:lastModifiedBy>Perényi Csaba</cp:lastModifiedBy>
  <dcterms:created xsi:type="dcterms:W3CDTF">2022-10-18T06:47:17Z</dcterms:created>
  <dcterms:modified xsi:type="dcterms:W3CDTF">2025-07-19T19:49:44Z</dcterms:modified>
</cp:coreProperties>
</file>